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wet\Downloads\"/>
    </mc:Choice>
  </mc:AlternateContent>
  <xr:revisionPtr revIDLastSave="0" documentId="8_{1C2C3DA7-6A1C-4E71-8631-709E748186E8}" xr6:coauthVersionLast="47" xr6:coauthVersionMax="47" xr10:uidLastSave="{00000000-0000-0000-0000-000000000000}"/>
  <bookViews>
    <workbookView xWindow="-120" yWindow="-120" windowWidth="20730" windowHeight="11040" xr2:uid="{C2E1FD93-D4A7-43D8-B729-BBE5D1207D06}"/>
  </bookViews>
  <sheets>
    <sheet name="Assumptions" sheetId="1" r:id="rId1"/>
    <sheet name="Income Statement" sheetId="2" r:id="rId2"/>
    <sheet name="Balance Sheet" sheetId="3" r:id="rId3"/>
    <sheet name="Cash Flow Statemen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9" i="1" l="1"/>
  <c r="C26" i="3"/>
  <c r="C26" i="4"/>
  <c r="D24" i="4"/>
  <c r="C21" i="4"/>
  <c r="C15" i="4"/>
  <c r="C10" i="4"/>
  <c r="C23" i="4" s="1"/>
  <c r="D20" i="4"/>
  <c r="D23" i="3" s="1"/>
  <c r="E20" i="4"/>
  <c r="F20" i="4"/>
  <c r="G20" i="4"/>
  <c r="H20" i="4"/>
  <c r="C10" i="3"/>
  <c r="C16" i="3"/>
  <c r="C17" i="3"/>
  <c r="C27" i="3" s="1"/>
  <c r="C6" i="2"/>
  <c r="C7" i="2"/>
  <c r="C8" i="2"/>
  <c r="C14" i="2"/>
  <c r="C21" i="2"/>
  <c r="D6" i="1"/>
  <c r="D6" i="2" s="1"/>
  <c r="E6" i="1"/>
  <c r="F6" i="1" s="1"/>
  <c r="F6" i="2" s="1"/>
  <c r="D7" i="1"/>
  <c r="E7" i="1" s="1"/>
  <c r="E7" i="2" s="1"/>
  <c r="D8" i="1"/>
  <c r="D8" i="2" s="1"/>
  <c r="C9" i="1"/>
  <c r="C16" i="1" s="1"/>
  <c r="C17" i="1"/>
  <c r="C20" i="1"/>
  <c r="C24" i="1"/>
  <c r="C29" i="1"/>
  <c r="C31" i="1"/>
  <c r="C34" i="1"/>
  <c r="C15" i="2" l="1"/>
  <c r="E23" i="3"/>
  <c r="F23" i="3" s="1"/>
  <c r="G23" i="3" s="1"/>
  <c r="G26" i="2" s="1"/>
  <c r="D26" i="2"/>
  <c r="E26" i="2"/>
  <c r="C36" i="1"/>
  <c r="C25" i="1"/>
  <c r="C23" i="1"/>
  <c r="C15" i="1"/>
  <c r="E8" i="1"/>
  <c r="D7" i="2"/>
  <c r="D9" i="2" s="1"/>
  <c r="E6" i="2"/>
  <c r="F26" i="2"/>
  <c r="G6" i="1"/>
  <c r="G6" i="2" s="1"/>
  <c r="F7" i="1"/>
  <c r="E9" i="1"/>
  <c r="C35" i="1"/>
  <c r="C32" i="1"/>
  <c r="C30" i="1"/>
  <c r="C28" i="1"/>
  <c r="C18" i="1"/>
  <c r="D9" i="1"/>
  <c r="D10" i="2" l="1"/>
  <c r="D7" i="4"/>
  <c r="D13" i="4"/>
  <c r="D19" i="4"/>
  <c r="D7" i="3"/>
  <c r="D9" i="4" s="1"/>
  <c r="D9" i="3"/>
  <c r="D15" i="3"/>
  <c r="D13" i="2"/>
  <c r="D8" i="3" s="1"/>
  <c r="D14" i="2"/>
  <c r="D15" i="2" s="1"/>
  <c r="D8" i="4"/>
  <c r="D14" i="4"/>
  <c r="D14" i="3" s="1"/>
  <c r="D20" i="3"/>
  <c r="D19" i="2"/>
  <c r="D20" i="2"/>
  <c r="D18" i="2"/>
  <c r="G7" i="1"/>
  <c r="F7" i="2"/>
  <c r="F8" i="1"/>
  <c r="E8" i="2"/>
  <c r="E9" i="2" s="1"/>
  <c r="C28" i="2"/>
  <c r="C23" i="2"/>
  <c r="H23" i="3"/>
  <c r="H26" i="2" s="1"/>
  <c r="D21" i="2"/>
  <c r="D22" i="2" s="1"/>
  <c r="D28" i="2" s="1"/>
  <c r="D29" i="2" s="1"/>
  <c r="D30" i="2" s="1"/>
  <c r="H6" i="1"/>
  <c r="F9" i="1"/>
  <c r="D6" i="4" l="1"/>
  <c r="D10" i="4" s="1"/>
  <c r="E8" i="4"/>
  <c r="E14" i="4"/>
  <c r="E20" i="3"/>
  <c r="E10" i="2"/>
  <c r="E19" i="2"/>
  <c r="E20" i="2"/>
  <c r="E7" i="4"/>
  <c r="E13" i="4"/>
  <c r="E15" i="4" s="1"/>
  <c r="E19" i="4"/>
  <c r="E7" i="3"/>
  <c r="E9" i="3"/>
  <c r="E15" i="3"/>
  <c r="E13" i="2"/>
  <c r="E8" i="3" s="1"/>
  <c r="E18" i="2"/>
  <c r="E21" i="2" s="1"/>
  <c r="G8" i="1"/>
  <c r="F8" i="2"/>
  <c r="F9" i="2" s="1"/>
  <c r="H6" i="2"/>
  <c r="H7" i="1"/>
  <c r="H7" i="2" s="1"/>
  <c r="G7" i="2"/>
  <c r="E14" i="3"/>
  <c r="D13" i="3"/>
  <c r="D15" i="4"/>
  <c r="D23" i="2"/>
  <c r="F10" i="2" l="1"/>
  <c r="F7" i="4"/>
  <c r="F13" i="4"/>
  <c r="F19" i="4"/>
  <c r="F7" i="3"/>
  <c r="F9" i="3"/>
  <c r="F15" i="3"/>
  <c r="F13" i="2"/>
  <c r="F8" i="3" s="1"/>
  <c r="F14" i="2"/>
  <c r="F15" i="2" s="1"/>
  <c r="F8" i="4"/>
  <c r="F14" i="4"/>
  <c r="F20" i="3"/>
  <c r="F19" i="2"/>
  <c r="F18" i="2"/>
  <c r="F21" i="2" s="1"/>
  <c r="F22" i="2" s="1"/>
  <c r="F20" i="2"/>
  <c r="E13" i="3"/>
  <c r="D16" i="3"/>
  <c r="F14" i="3"/>
  <c r="H9" i="1"/>
  <c r="H8" i="1"/>
  <c r="H8" i="2" s="1"/>
  <c r="H9" i="2" s="1"/>
  <c r="G8" i="2"/>
  <c r="G9" i="2" s="1"/>
  <c r="G9" i="1"/>
  <c r="E14" i="2"/>
  <c r="E9" i="4"/>
  <c r="H10" i="2" l="1"/>
  <c r="H7" i="4"/>
  <c r="H13" i="4"/>
  <c r="H19" i="4"/>
  <c r="H7" i="3"/>
  <c r="H9" i="3"/>
  <c r="H15" i="3"/>
  <c r="H13" i="2"/>
  <c r="H8" i="3" s="1"/>
  <c r="H14" i="2"/>
  <c r="H15" i="2" s="1"/>
  <c r="H8" i="4"/>
  <c r="H14" i="4"/>
  <c r="H20" i="3"/>
  <c r="H19" i="2"/>
  <c r="H20" i="2"/>
  <c r="H18" i="2"/>
  <c r="H21" i="2" s="1"/>
  <c r="H22" i="2" s="1"/>
  <c r="G8" i="4"/>
  <c r="G14" i="4"/>
  <c r="G20" i="3"/>
  <c r="G18" i="2"/>
  <c r="G19" i="2"/>
  <c r="G7" i="4"/>
  <c r="G13" i="4"/>
  <c r="G19" i="4"/>
  <c r="G7" i="3"/>
  <c r="G9" i="3"/>
  <c r="G15" i="3"/>
  <c r="G10" i="2"/>
  <c r="G13" i="2"/>
  <c r="G8" i="3" s="1"/>
  <c r="G14" i="2"/>
  <c r="G20" i="2"/>
  <c r="E22" i="2"/>
  <c r="E15" i="2"/>
  <c r="F13" i="3"/>
  <c r="E16" i="3"/>
  <c r="F28" i="2"/>
  <c r="F29" i="2" s="1"/>
  <c r="F30" i="2" s="1"/>
  <c r="F23" i="2"/>
  <c r="G14" i="3"/>
  <c r="H14" i="3" s="1"/>
  <c r="F9" i="4"/>
  <c r="F15" i="4"/>
  <c r="D18" i="4"/>
  <c r="F6" i="4" l="1"/>
  <c r="F10" i="4" s="1"/>
  <c r="F18" i="4"/>
  <c r="F21" i="4" s="1"/>
  <c r="F23" i="4" s="1"/>
  <c r="E23" i="2"/>
  <c r="E28" i="2"/>
  <c r="D21" i="4"/>
  <c r="D23" i="4" s="1"/>
  <c r="D25" i="4" s="1"/>
  <c r="D25" i="3"/>
  <c r="G9" i="4"/>
  <c r="G15" i="4"/>
  <c r="G13" i="3"/>
  <c r="F16" i="3"/>
  <c r="G15" i="2"/>
  <c r="G22" i="2"/>
  <c r="G21" i="2"/>
  <c r="H28" i="2"/>
  <c r="H23" i="2"/>
  <c r="H9" i="4"/>
  <c r="H15" i="4"/>
  <c r="D6" i="3"/>
  <c r="D26" i="4" s="1"/>
  <c r="H29" i="2" l="1"/>
  <c r="H30" i="2" s="1"/>
  <c r="E29" i="2"/>
  <c r="E30" i="2"/>
  <c r="G23" i="2"/>
  <c r="G28" i="2"/>
  <c r="H13" i="3"/>
  <c r="H16" i="3" s="1"/>
  <c r="G16" i="3"/>
  <c r="E24" i="4"/>
  <c r="D10" i="3"/>
  <c r="D17" i="3" s="1"/>
  <c r="H6" i="4" l="1"/>
  <c r="H10" i="4" s="1"/>
  <c r="H18" i="4"/>
  <c r="H21" i="4" s="1"/>
  <c r="H23" i="4" s="1"/>
  <c r="G29" i="2"/>
  <c r="G30" i="2"/>
  <c r="E6" i="4"/>
  <c r="E10" i="4" s="1"/>
  <c r="E18" i="4"/>
  <c r="E21" i="4" s="1"/>
  <c r="E23" i="4" s="1"/>
  <c r="D24" i="3"/>
  <c r="D26" i="3" s="1"/>
  <c r="D27" i="3"/>
  <c r="E25" i="3"/>
  <c r="F25" i="3" s="1"/>
  <c r="E25" i="4"/>
  <c r="G6" i="4" l="1"/>
  <c r="G10" i="4" s="1"/>
  <c r="G23" i="4" s="1"/>
  <c r="G18" i="4"/>
  <c r="G21" i="4" s="1"/>
  <c r="G25" i="3"/>
  <c r="H25" i="3" s="1"/>
  <c r="E6" i="3"/>
  <c r="E26" i="4"/>
  <c r="F24" i="4" l="1"/>
  <c r="E10" i="3"/>
  <c r="E17" i="3" s="1"/>
  <c r="E27" i="3" l="1"/>
  <c r="E24" i="3"/>
  <c r="E26" i="3" s="1"/>
  <c r="F25" i="4"/>
  <c r="F6" i="3" l="1"/>
  <c r="G24" i="4" l="1"/>
  <c r="F10" i="3"/>
  <c r="F17" i="3" s="1"/>
  <c r="F26" i="4"/>
  <c r="F24" i="3" l="1"/>
  <c r="F26" i="3" s="1"/>
  <c r="F27" i="3"/>
  <c r="G25" i="4"/>
  <c r="G26" i="4" l="1"/>
  <c r="G6" i="3"/>
  <c r="H24" i="4" l="1"/>
  <c r="G10" i="3"/>
  <c r="G17" i="3" s="1"/>
  <c r="G24" i="3" l="1"/>
  <c r="G26" i="3" s="1"/>
  <c r="G27" i="3" s="1"/>
  <c r="H25" i="4"/>
  <c r="H6" i="3" l="1"/>
  <c r="H10" i="3" s="1"/>
  <c r="H17" i="3" s="1"/>
  <c r="H24" i="3" l="1"/>
  <c r="H26" i="3" s="1"/>
  <c r="H27" i="3"/>
  <c r="H26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tc={388914D2-90E8-4866-98C1-0AFC90590FEB}</author>
    <author>shwetha k</author>
  </authors>
  <commentList>
    <comment ref="C9" authorId="0" shapeId="0" xr:uid="{388914D2-90E8-4866-98C1-0AFC90590FEB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Microsoft FY24 total revenue, rounded by user prompt to $245.12bn; model uses $245,122mm reported amount.</t>
      </text>
    </comment>
    <comment ref="C19" authorId="1" shapeId="0" xr:uid="{3C9E8046-F2C7-4683-A340-6FD70C3B729B}">
      <text>
        <r>
          <rPr>
            <b/>
            <sz val="9"/>
            <color indexed="81"/>
            <rFont val="Tahoma"/>
            <charset val="1"/>
          </rPr>
          <t>shwetha k:</t>
        </r>
        <r>
          <rPr>
            <sz val="9"/>
            <color indexed="81"/>
            <rFont val="Tahoma"/>
            <charset val="1"/>
          </rPr>
          <t xml:space="preserve">
Source: Derived from FY24 tax expense / pre-tax income after aligning simplified income statement to reported FY24 net income.</t>
        </r>
      </text>
    </comment>
  </commentList>
</comments>
</file>

<file path=xl/sharedStrings.xml><?xml version="1.0" encoding="utf-8"?>
<sst xmlns="http://schemas.openxmlformats.org/spreadsheetml/2006/main" count="233" uniqueCount="128">
  <si>
    <t>Microsoft Corporation (NASDAQ: MSFT) - Integrated 5-Year 3-Statement Model</t>
  </si>
  <si>
    <t>Currency: USD in millions; fiscal years ending June 30; forecasts linked to assumptions; built 2026-05-23</t>
  </si>
  <si>
    <t>Assumption / Driver</t>
  </si>
  <si>
    <t>Units</t>
  </si>
  <si>
    <t>FY24A</t>
  </si>
  <si>
    <t>FY25E</t>
  </si>
  <si>
    <t>FY26E</t>
  </si>
  <si>
    <t>FY27E</t>
  </si>
  <si>
    <t>FY28E</t>
  </si>
  <si>
    <t>FY29E</t>
  </si>
  <si>
    <t>Source / Notes</t>
  </si>
  <si>
    <t>REVENUE BY SEGMENT</t>
  </si>
  <si>
    <t>Productivity &amp; Business Processes Revenue</t>
  </si>
  <si>
    <t>$mm</t>
  </si>
  <si>
    <t>FY24 actual per Microsoft FY24 Q4 segment revenue; forecast = prior year x segment growth</t>
  </si>
  <si>
    <t>Intelligent Cloud Revenue</t>
  </si>
  <si>
    <t>More Personal Computing Revenue</t>
  </si>
  <si>
    <t>Total Revenue</t>
  </si>
  <si>
    <t>FY24 total rounds to user-provided $245.12bn</t>
  </si>
  <si>
    <t>Productivity &amp; Business Processes Revenue Growth</t>
  </si>
  <si>
    <t>%</t>
  </si>
  <si>
    <t>Assumption: commercial cloud and Office/LinkedIn growth moderates</t>
  </si>
  <si>
    <t>Intelligent Cloud Revenue Growth</t>
  </si>
  <si>
    <t>Assumption: Azure/AI demand drives above-company growth with moderation</t>
  </si>
  <si>
    <t>More Personal Computing Revenue Growth</t>
  </si>
  <si>
    <t>Assumption: Windows/devices/gaming normalize after FY24 Activision contribution</t>
  </si>
  <si>
    <t>MARGINS, EXPENSES, TAX, AND INTEREST</t>
  </si>
  <si>
    <t>Gross Margin</t>
  </si>
  <si>
    <t>FY24 actual from revenue and cost of revenue; forecast assumes AI infrastructure pressure then scale benefits</t>
  </si>
  <si>
    <t>R&amp;D % of Revenue</t>
  </si>
  <si>
    <t>FY24 actual per Microsoft income statement; forecast assumes operating leverage</t>
  </si>
  <si>
    <t>S&amp;M % of Revenue</t>
  </si>
  <si>
    <t>FY24 actual per Microsoft income statement; forecast assumes go-to-market leverage</t>
  </si>
  <si>
    <t>G&amp;A % of Revenue</t>
  </si>
  <si>
    <t>FY24 actual per Microsoft income statement; forecast assumes fixed-cost leverage</t>
  </si>
  <si>
    <t>Cash Tax Rate</t>
  </si>
  <si>
    <t>FY24 derived from pretax income less tax expense; forecast held flat</t>
  </si>
  <si>
    <t>Interest Rate on Debt</t>
  </si>
  <si>
    <t>Forecast assumption based on investment-grade borrowing cost</t>
  </si>
  <si>
    <t>WORKING CAPITAL DAYS</t>
  </si>
  <si>
    <t>DSO</t>
  </si>
  <si>
    <t>days</t>
  </si>
  <si>
    <t>Forecast assumes slight improvement in collections</t>
  </si>
  <si>
    <t>DIO</t>
  </si>
  <si>
    <t>Inventory remains immaterial vs services mix</t>
  </si>
  <si>
    <t>Current Liabilities Days</t>
  </si>
  <si>
    <t>Uses total current liabilities as simplified working capital proxy</t>
  </si>
  <si>
    <t>CASH FLOW AND BALANCE SHEET DRIVERS</t>
  </si>
  <si>
    <t>D&amp;A % of Revenue</t>
  </si>
  <si>
    <t>FY24 actual per cash flow statement; forecast follows data center capex base</t>
  </si>
  <si>
    <t>CapEx % of Revenue</t>
  </si>
  <si>
    <t>Forecast assumes AI/data center investment remains elevated but normalizes</t>
  </si>
  <si>
    <t>Acquisition Spend % of Revenue</t>
  </si>
  <si>
    <t>Forecast assumes modest bolt-on M&amp;A after FY24 Activision close</t>
  </si>
  <si>
    <t>Dividend Payout % of Net Income</t>
  </si>
  <si>
    <t>Forecast assumes consistent payout policy</t>
  </si>
  <si>
    <t>Share Repurchase % of Revenue</t>
  </si>
  <si>
    <t>Forecast assumes buybacks remain a capital return priority</t>
  </si>
  <si>
    <t>Debt Issuance / (Repayment), Net</t>
  </si>
  <si>
    <t>Forecast assumes no net debt issuance or repayment</t>
  </si>
  <si>
    <t>SBC / Other Equity Adj. % of Revenue</t>
  </si>
  <si>
    <t>Forecast proxy for stock-based comp and other equity adjustments</t>
  </si>
  <si>
    <t>Other Current Assets % of Revenue</t>
  </si>
  <si>
    <t>Residual current asset line; FY24 adjusted to retain user-provided $80.5bn cash base</t>
  </si>
  <si>
    <t>Other Non-current Assets % of Revenue</t>
  </si>
  <si>
    <t>Residual non-current asset line for leases, investments, intangibles and other assets</t>
  </si>
  <si>
    <t>Microsoft Corporation - Income Statement</t>
  </si>
  <si>
    <t>USD in millions; forecasts formula-driven from Assumptions</t>
  </si>
  <si>
    <t>Line Item</t>
  </si>
  <si>
    <t>REVENUE</t>
  </si>
  <si>
    <t>Revenue Growth</t>
  </si>
  <si>
    <t>PROFITABILITY</t>
  </si>
  <si>
    <t>Cost of Revenue</t>
  </si>
  <si>
    <t>Gross Profit</t>
  </si>
  <si>
    <t>OPERATING EXPENSES</t>
  </si>
  <si>
    <t>Research &amp; Development</t>
  </si>
  <si>
    <t>Sales &amp; Marketing</t>
  </si>
  <si>
    <t>General &amp; Administrative</t>
  </si>
  <si>
    <t>Total Operating Expenses</t>
  </si>
  <si>
    <t>Operating Income</t>
  </si>
  <si>
    <t>Operating Margin</t>
  </si>
  <si>
    <t>BELOW OPERATING INCOME</t>
  </si>
  <si>
    <t>Interest Expense</t>
  </si>
  <si>
    <t>Other Income / (Expense), Net</t>
  </si>
  <si>
    <t>Pre-tax Income</t>
  </si>
  <si>
    <t>Tax Expense</t>
  </si>
  <si>
    <t>Net Income</t>
  </si>
  <si>
    <t>Microsoft Corporation - Balance Sheet</t>
  </si>
  <si>
    <t>USD in millions; cash links to Cash Flow Statement ending cash; simplified residual rows capture omitted detailed lines</t>
  </si>
  <si>
    <t>CURRENT ASSETS</t>
  </si>
  <si>
    <t>Cash, Cash Equivalents &amp; Investments</t>
  </si>
  <si>
    <t>Accounts Receivable</t>
  </si>
  <si>
    <t>Inventory</t>
  </si>
  <si>
    <t>Other Current Assets</t>
  </si>
  <si>
    <t>Total Current Assets</t>
  </si>
  <si>
    <t>NON-CURRENT ASSETS</t>
  </si>
  <si>
    <t>PP&amp;E, Net</t>
  </si>
  <si>
    <t>Goodwill</t>
  </si>
  <si>
    <t>Other Non-current Assets</t>
  </si>
  <si>
    <t>Total Non-current Assets</t>
  </si>
  <si>
    <t>Total Assets</t>
  </si>
  <si>
    <t>CURRENT LIABILITIES</t>
  </si>
  <si>
    <t>Current Liabilities</t>
  </si>
  <si>
    <t>LONG-TERM LIABILITIES AND EQUITY</t>
  </si>
  <si>
    <t>Long-term Debt</t>
  </si>
  <si>
    <t>Other Liabilities / Residual</t>
  </si>
  <si>
    <t>Shareholders' Equity</t>
  </si>
  <si>
    <t>Total Liabilities &amp; Equity</t>
  </si>
  <si>
    <t>Balance Check</t>
  </si>
  <si>
    <t>Microsoft Corporation - Cash Flow Statement</t>
  </si>
  <si>
    <t>USD in millions; ending cash links directly to Balance Sheet cash</t>
  </si>
  <si>
    <t>OPERATING ACTIVITIES</t>
  </si>
  <si>
    <t>Depreciation &amp; Amortization</t>
  </si>
  <si>
    <t>Stock-Based Comp / Other Non-cash</t>
  </si>
  <si>
    <t>Change in Working Capital</t>
  </si>
  <si>
    <t>Net Cash Provided by Operating Activities</t>
  </si>
  <si>
    <t>INVESTING ACTIVITIES</t>
  </si>
  <si>
    <t>Capital Expenditures</t>
  </si>
  <si>
    <t>Acquisitions / Strategic Investments</t>
  </si>
  <si>
    <t>Net Cash Used in Investing Activities</t>
  </si>
  <si>
    <t>FINANCING ACTIVITIES</t>
  </si>
  <si>
    <t>Dividends Paid</t>
  </si>
  <si>
    <t>Share Repurchases</t>
  </si>
  <si>
    <t>Net Cash Used in Financing Activities</t>
  </si>
  <si>
    <t>Net Change in Cash</t>
  </si>
  <si>
    <t>Beginning Cash</t>
  </si>
  <si>
    <t>Ending Cash</t>
  </si>
  <si>
    <t>Cash Check vs Balance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</si>
</sst>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[Red]\(#,##0\);\-"/>
    <numFmt numFmtId="165" formatCode="0.0%"/>
    <numFmt numFmtId="166" formatCode="0.0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  <font>
      <b/>
      <sz val="10"/>
      <color rgb="FFFFFFFF"/>
      <name val="Calibri"/>
      <scheme val="minor"/>
    </font>
    <font>
      <b/>
      <sz val="13"/>
      <color rgb="FFFFFFFF"/>
      <name val="Calibri"/>
      <scheme val="minor"/>
    </font>
    <font>
      <i/>
      <sz val="10"/>
      <color theme="1"/>
      <name val="Calibri"/>
      <scheme val="minor"/>
    </font>
    <font>
      <b/>
      <sz val="10"/>
      <color theme="1"/>
      <name val="Calibri"/>
      <scheme val="minor"/>
    </font>
    <font>
      <sz val="10"/>
      <color rgb="FF0070C0"/>
      <name val="Calibri"/>
      <scheme val="minor"/>
    </font>
    <font>
      <b/>
      <sz val="10"/>
      <color rgb="FF008000"/>
      <name val="Calibri"/>
      <scheme val="minor"/>
    </font>
    <font>
      <sz val="10"/>
      <color rgb="FF008000"/>
      <name val="Calibri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rgb="FF1D2330"/>
        <bgColor indexed="64"/>
      </patternFill>
    </fill>
    <fill>
      <patternFill patternType="solid">
        <fgColor rgb="FFE2E3E5"/>
        <bgColor indexed="64"/>
      </patternFill>
    </fill>
  </fills>
  <borders count="2">
    <border>
      <left/>
      <right/>
      <top/>
      <bottom/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2" borderId="0" xfId="0" applyFont="1" applyFill="1"/>
    <xf numFmtId="0" fontId="4" fillId="0" borderId="0" xfId="0" applyFont="1"/>
    <xf numFmtId="0" fontId="5" fillId="3" borderId="0" xfId="0" applyFont="1" applyFill="1" applyAlignment="1">
      <alignment horizontal="center"/>
    </xf>
    <xf numFmtId="0" fontId="5" fillId="0" borderId="0" xfId="0" applyFont="1"/>
    <xf numFmtId="0" fontId="5" fillId="0" borderId="1" xfId="0" applyFont="1" applyBorder="1"/>
    <xf numFmtId="164" fontId="2" fillId="2" borderId="0" xfId="0" applyNumberFormat="1" applyFont="1" applyFill="1"/>
    <xf numFmtId="164" fontId="1" fillId="0" borderId="0" xfId="0" applyNumberFormat="1" applyFont="1"/>
    <xf numFmtId="164" fontId="5" fillId="0" borderId="1" xfId="0" applyNumberFormat="1" applyFont="1" applyBorder="1"/>
    <xf numFmtId="165" fontId="1" fillId="0" borderId="0" xfId="0" applyNumberFormat="1" applyFont="1"/>
    <xf numFmtId="165" fontId="6" fillId="0" borderId="0" xfId="0" applyNumberFormat="1" applyFont="1"/>
    <xf numFmtId="166" fontId="6" fillId="0" borderId="0" xfId="0" applyNumberFormat="1" applyFont="1"/>
    <xf numFmtId="164" fontId="6" fillId="0" borderId="0" xfId="0" applyNumberFormat="1" applyFont="1"/>
    <xf numFmtId="164" fontId="7" fillId="2" borderId="0" xfId="0" applyNumberFormat="1" applyFont="1" applyFill="1"/>
    <xf numFmtId="164" fontId="8" fillId="0" borderId="0" xfId="0" applyNumberFormat="1" applyFont="1"/>
    <xf numFmtId="164" fontId="7" fillId="0" borderId="1" xfId="0" applyNumberFormat="1" applyFont="1" applyBorder="1"/>
    <xf numFmtId="165" fontId="8" fillId="0" borderId="0" xfId="0" applyNumberFormat="1" applyFont="1"/>
    <xf numFmtId="166" fontId="8" fillId="0" borderId="0" xfId="0" applyNumberFormat="1" applyFont="1"/>
    <xf numFmtId="164" fontId="7" fillId="0" borderId="0" xfId="0" applyNumberFormat="1" applyFont="1"/>
    <xf numFmtId="164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hwetha k" id="{D57A406D-538D-4CFB-971C-2366EBD26701}" userId="0e7f8daf2edcbca7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9" dT="2026-05-23T12:02:58.49" personId="{D57A406D-538D-4CFB-971C-2366EBD26701}" id="{388914D2-90E8-4866-98C1-0AFC90590FEB}">
    <text>Source: Microsoft FY24 total revenue, rounded by user prompt to $245.12bn; model uses $245,122mm reported amount.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99BCF3D-9896-4C6D-B60A-CAA1102CBDE1}">
  <we:reference id="wa200010215" version="2.0.0.0" store="en-US" storeType="OMEX"/>
  <we:alternateReferences>
    <we:reference id="wa200010215" version="2.0.0.0" store="WA200010215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60408-953B-4399-B0F7-2DCC1E08D72F}">
  <dimension ref="A1:I36"/>
  <sheetViews>
    <sheetView showGridLines="0" tabSelected="1" workbookViewId="0"/>
  </sheetViews>
  <sheetFormatPr defaultRowHeight="15" x14ac:dyDescent="0.25"/>
  <cols>
    <col min="1" max="1" width="39" customWidth="1"/>
    <col min="2" max="2" width="13.7109375" customWidth="1"/>
    <col min="3" max="8" width="15.5703125" customWidth="1"/>
    <col min="9" max="9" width="57.140625" customWidth="1"/>
  </cols>
  <sheetData>
    <row r="1" spans="1:9" ht="17.25" x14ac:dyDescent="0.3">
      <c r="A1" s="3" t="s">
        <v>0</v>
      </c>
      <c r="B1" s="3"/>
      <c r="C1" s="3"/>
      <c r="D1" s="3"/>
      <c r="E1" s="3"/>
      <c r="F1" s="3"/>
      <c r="G1" s="3"/>
      <c r="H1" s="3"/>
      <c r="I1" s="3"/>
    </row>
    <row r="2" spans="1:9" x14ac:dyDescent="0.25">
      <c r="A2" s="4" t="s">
        <v>1</v>
      </c>
      <c r="B2" s="4"/>
      <c r="C2" s="4"/>
      <c r="D2" s="4"/>
      <c r="E2" s="4"/>
      <c r="F2" s="4"/>
      <c r="G2" s="4"/>
      <c r="H2" s="4"/>
      <c r="I2" s="4"/>
    </row>
    <row r="3" spans="1:9" x14ac:dyDescent="0.25">
      <c r="A3" s="1"/>
      <c r="B3" s="1"/>
      <c r="C3" s="1"/>
      <c r="D3" s="1"/>
      <c r="E3" s="1"/>
      <c r="F3" s="1"/>
      <c r="G3" s="1"/>
      <c r="H3" s="1"/>
      <c r="I3" s="1"/>
    </row>
    <row r="4" spans="1:9" x14ac:dyDescent="0.25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</row>
    <row r="5" spans="1:9" x14ac:dyDescent="0.25">
      <c r="A5" s="2" t="s">
        <v>11</v>
      </c>
      <c r="B5" s="2"/>
      <c r="C5" s="15"/>
      <c r="D5" s="8"/>
      <c r="E5" s="8"/>
      <c r="F5" s="8"/>
      <c r="G5" s="8"/>
      <c r="H5" s="8"/>
      <c r="I5" s="8"/>
    </row>
    <row r="6" spans="1:9" x14ac:dyDescent="0.25">
      <c r="A6" s="1" t="s">
        <v>12</v>
      </c>
      <c r="B6" s="1" t="s">
        <v>13</v>
      </c>
      <c r="C6" s="16">
        <v>77728</v>
      </c>
      <c r="D6" s="9">
        <f>C6*(1+D10)</f>
        <v>87055.360000000015</v>
      </c>
      <c r="E6" s="9">
        <f>D6*(1+E10)</f>
        <v>96631.449600000022</v>
      </c>
      <c r="F6" s="9">
        <f>E6*(1+F10)</f>
        <v>106294.59456000003</v>
      </c>
      <c r="G6" s="9">
        <f>F6*(1+G10)</f>
        <v>115861.10807040003</v>
      </c>
      <c r="H6" s="9">
        <f>G6*(1+H10)</f>
        <v>125129.99671603205</v>
      </c>
      <c r="I6" s="9" t="s">
        <v>14</v>
      </c>
    </row>
    <row r="7" spans="1:9" x14ac:dyDescent="0.25">
      <c r="A7" s="1" t="s">
        <v>15</v>
      </c>
      <c r="B7" s="1" t="s">
        <v>13</v>
      </c>
      <c r="C7" s="16">
        <v>105362</v>
      </c>
      <c r="D7" s="9">
        <f>C7*(1+D11)</f>
        <v>126434.4</v>
      </c>
      <c r="E7" s="9">
        <f>D7*(1+E11)</f>
        <v>149192.59199999998</v>
      </c>
      <c r="F7" s="9">
        <f>E7*(1+F11)</f>
        <v>173063.40671999997</v>
      </c>
      <c r="G7" s="9">
        <f>F7*(1+G11)</f>
        <v>197292.28366079999</v>
      </c>
      <c r="H7" s="9">
        <f>G7*(1+H11)</f>
        <v>220967.35770009601</v>
      </c>
      <c r="I7" s="9" t="s">
        <v>14</v>
      </c>
    </row>
    <row r="8" spans="1:9" ht="15.75" thickBot="1" x14ac:dyDescent="0.3">
      <c r="A8" s="1" t="s">
        <v>16</v>
      </c>
      <c r="B8" s="1" t="s">
        <v>13</v>
      </c>
      <c r="C8" s="16">
        <v>62032</v>
      </c>
      <c r="D8" s="9">
        <f>C8*(1+D12)</f>
        <v>66994.559999999998</v>
      </c>
      <c r="E8" s="9">
        <f>D8*(1+E12)</f>
        <v>71014.233600000007</v>
      </c>
      <c r="F8" s="9">
        <f>E8*(1+F12)</f>
        <v>74564.945280000014</v>
      </c>
      <c r="G8" s="9">
        <f>F8*(1+G12)</f>
        <v>77547.543091200016</v>
      </c>
      <c r="H8" s="9">
        <f>G8*(1+H12)</f>
        <v>79873.969383936012</v>
      </c>
      <c r="I8" s="9" t="s">
        <v>14</v>
      </c>
    </row>
    <row r="9" spans="1:9" ht="15.75" thickTop="1" x14ac:dyDescent="0.25">
      <c r="A9" s="7" t="s">
        <v>17</v>
      </c>
      <c r="B9" s="7" t="s">
        <v>13</v>
      </c>
      <c r="C9" s="17">
        <f>SUM(C6:C8)</f>
        <v>245122</v>
      </c>
      <c r="D9" s="10">
        <f>SUM(D6:D8)</f>
        <v>280484.32</v>
      </c>
      <c r="E9" s="10">
        <f>SUM(E6:E8)</f>
        <v>316838.27520000003</v>
      </c>
      <c r="F9" s="10">
        <f>SUM(F6:F8)</f>
        <v>353922.94655999995</v>
      </c>
      <c r="G9" s="10">
        <f>SUM(G6:G8)</f>
        <v>390700.93482240004</v>
      </c>
      <c r="H9" s="10">
        <f>SUM(H6:H8)</f>
        <v>425971.3238000641</v>
      </c>
      <c r="I9" s="10" t="s">
        <v>18</v>
      </c>
    </row>
    <row r="10" spans="1:9" x14ac:dyDescent="0.25">
      <c r="A10" s="1" t="s">
        <v>19</v>
      </c>
      <c r="B10" s="1" t="s">
        <v>20</v>
      </c>
      <c r="C10" s="18"/>
      <c r="D10" s="12">
        <v>0.12</v>
      </c>
      <c r="E10" s="12">
        <v>0.11</v>
      </c>
      <c r="F10" s="12">
        <v>0.1</v>
      </c>
      <c r="G10" s="12">
        <v>0.09</v>
      </c>
      <c r="H10" s="12">
        <v>0.08</v>
      </c>
      <c r="I10" s="12" t="s">
        <v>21</v>
      </c>
    </row>
    <row r="11" spans="1:9" x14ac:dyDescent="0.25">
      <c r="A11" s="1" t="s">
        <v>22</v>
      </c>
      <c r="B11" s="1" t="s">
        <v>20</v>
      </c>
      <c r="C11" s="18"/>
      <c r="D11" s="12">
        <v>0.2</v>
      </c>
      <c r="E11" s="12">
        <v>0.18</v>
      </c>
      <c r="F11" s="12">
        <v>0.16</v>
      </c>
      <c r="G11" s="12">
        <v>0.14000000000000001</v>
      </c>
      <c r="H11" s="12">
        <v>0.12</v>
      </c>
      <c r="I11" s="12" t="s">
        <v>23</v>
      </c>
    </row>
    <row r="12" spans="1:9" x14ac:dyDescent="0.25">
      <c r="A12" s="1" t="s">
        <v>24</v>
      </c>
      <c r="B12" s="1" t="s">
        <v>20</v>
      </c>
      <c r="C12" s="18"/>
      <c r="D12" s="12">
        <v>0.08</v>
      </c>
      <c r="E12" s="12">
        <v>0.06</v>
      </c>
      <c r="F12" s="12">
        <v>0.05</v>
      </c>
      <c r="G12" s="12">
        <v>0.04</v>
      </c>
      <c r="H12" s="12">
        <v>0.03</v>
      </c>
      <c r="I12" s="12" t="s">
        <v>25</v>
      </c>
    </row>
    <row r="13" spans="1:9" x14ac:dyDescent="0.25">
      <c r="A13" s="1"/>
      <c r="B13" s="1"/>
      <c r="C13" s="16"/>
      <c r="D13" s="9"/>
      <c r="E13" s="9"/>
      <c r="F13" s="9"/>
      <c r="G13" s="9"/>
      <c r="H13" s="9"/>
      <c r="I13" s="9"/>
    </row>
    <row r="14" spans="1:9" x14ac:dyDescent="0.25">
      <c r="A14" s="2" t="s">
        <v>26</v>
      </c>
      <c r="B14" s="2"/>
      <c r="C14" s="15"/>
      <c r="D14" s="8"/>
      <c r="E14" s="8"/>
      <c r="F14" s="8"/>
      <c r="G14" s="8"/>
      <c r="H14" s="8"/>
      <c r="I14" s="8"/>
    </row>
    <row r="15" spans="1:9" x14ac:dyDescent="0.25">
      <c r="A15" s="1" t="s">
        <v>27</v>
      </c>
      <c r="B15" s="1" t="s">
        <v>20</v>
      </c>
      <c r="C15" s="18">
        <f>171008/C9</f>
        <v>0.69764443827971379</v>
      </c>
      <c r="D15" s="12">
        <v>0.69</v>
      </c>
      <c r="E15" s="12">
        <v>0.68799999999999994</v>
      </c>
      <c r="F15" s="12">
        <v>0.68799999999999994</v>
      </c>
      <c r="G15" s="12">
        <v>0.69</v>
      </c>
      <c r="H15" s="12">
        <v>0.69199999999999995</v>
      </c>
      <c r="I15" s="12" t="s">
        <v>28</v>
      </c>
    </row>
    <row r="16" spans="1:9" x14ac:dyDescent="0.25">
      <c r="A16" s="1" t="s">
        <v>29</v>
      </c>
      <c r="B16" s="1" t="s">
        <v>20</v>
      </c>
      <c r="C16" s="18">
        <f>29510/C9</f>
        <v>0.12038903076835208</v>
      </c>
      <c r="D16" s="12">
        <v>0.125</v>
      </c>
      <c r="E16" s="12">
        <v>0.123</v>
      </c>
      <c r="F16" s="12">
        <v>0.121</v>
      </c>
      <c r="G16" s="12">
        <v>0.12</v>
      </c>
      <c r="H16" s="12">
        <v>0.11799999999999999</v>
      </c>
      <c r="I16" s="12" t="s">
        <v>30</v>
      </c>
    </row>
    <row r="17" spans="1:9" x14ac:dyDescent="0.25">
      <c r="A17" s="1" t="s">
        <v>31</v>
      </c>
      <c r="B17" s="1" t="s">
        <v>20</v>
      </c>
      <c r="C17" s="18">
        <f>24456/C9</f>
        <v>9.9770726413785787E-2</v>
      </c>
      <c r="D17" s="12">
        <v>0.1</v>
      </c>
      <c r="E17" s="12">
        <v>9.8000000000000004E-2</v>
      </c>
      <c r="F17" s="12">
        <v>9.6000000000000002E-2</v>
      </c>
      <c r="G17" s="12">
        <v>9.5000000000000001E-2</v>
      </c>
      <c r="H17" s="12">
        <v>9.4E-2</v>
      </c>
      <c r="I17" s="12" t="s">
        <v>32</v>
      </c>
    </row>
    <row r="18" spans="1:9" x14ac:dyDescent="0.25">
      <c r="A18" s="1" t="s">
        <v>33</v>
      </c>
      <c r="B18" s="1" t="s">
        <v>20</v>
      </c>
      <c r="C18" s="18">
        <f>7609/C9</f>
        <v>3.1041685364838735E-2</v>
      </c>
      <c r="D18" s="12">
        <v>0.03</v>
      </c>
      <c r="E18" s="12">
        <v>2.9000000000000001E-2</v>
      </c>
      <c r="F18" s="12">
        <v>2.8000000000000001E-2</v>
      </c>
      <c r="G18" s="12">
        <v>2.7E-2</v>
      </c>
      <c r="H18" s="12">
        <v>2.7E-2</v>
      </c>
      <c r="I18" s="12" t="s">
        <v>34</v>
      </c>
    </row>
    <row r="19" spans="1:9" x14ac:dyDescent="0.25">
      <c r="A19" s="1" t="s">
        <v>35</v>
      </c>
      <c r="B19" s="1" t="s">
        <v>20</v>
      </c>
      <c r="C19" s="18">
        <f>19651/(109433-2935+1289)</f>
        <v>0.18231326597827197</v>
      </c>
      <c r="D19" s="12">
        <v>0.182</v>
      </c>
      <c r="E19" s="12">
        <v>0.182</v>
      </c>
      <c r="F19" s="12">
        <v>0.182</v>
      </c>
      <c r="G19" s="12">
        <v>0.182</v>
      </c>
      <c r="H19" s="12">
        <v>0.182</v>
      </c>
      <c r="I19" s="12" t="s">
        <v>36</v>
      </c>
    </row>
    <row r="20" spans="1:9" x14ac:dyDescent="0.25">
      <c r="A20" s="1" t="s">
        <v>37</v>
      </c>
      <c r="B20" s="1" t="s">
        <v>20</v>
      </c>
      <c r="C20" s="18">
        <f>2935/42688</f>
        <v>6.8754685157421294E-2</v>
      </c>
      <c r="D20" s="12">
        <v>0.04</v>
      </c>
      <c r="E20" s="12">
        <v>0.04</v>
      </c>
      <c r="F20" s="12">
        <v>0.04</v>
      </c>
      <c r="G20" s="12">
        <v>0.04</v>
      </c>
      <c r="H20" s="12">
        <v>0.04</v>
      </c>
      <c r="I20" s="12" t="s">
        <v>38</v>
      </c>
    </row>
    <row r="21" spans="1:9" x14ac:dyDescent="0.25">
      <c r="A21" s="1"/>
      <c r="B21" s="1"/>
      <c r="C21" s="16"/>
      <c r="D21" s="9"/>
      <c r="E21" s="9"/>
      <c r="F21" s="9"/>
      <c r="G21" s="9"/>
      <c r="H21" s="9"/>
      <c r="I21" s="9"/>
    </row>
    <row r="22" spans="1:9" x14ac:dyDescent="0.25">
      <c r="A22" s="2" t="s">
        <v>39</v>
      </c>
      <c r="B22" s="2"/>
      <c r="C22" s="15"/>
      <c r="D22" s="8"/>
      <c r="E22" s="8"/>
      <c r="F22" s="8"/>
      <c r="G22" s="8"/>
      <c r="H22" s="8"/>
      <c r="I22" s="8"/>
    </row>
    <row r="23" spans="1:9" x14ac:dyDescent="0.25">
      <c r="A23" s="1" t="s">
        <v>40</v>
      </c>
      <c r="B23" s="1" t="s">
        <v>41</v>
      </c>
      <c r="C23" s="19">
        <f>56924/C9*365</f>
        <v>84.762934375535451</v>
      </c>
      <c r="D23" s="13">
        <v>84</v>
      </c>
      <c r="E23" s="13">
        <v>83</v>
      </c>
      <c r="F23" s="13">
        <v>82</v>
      </c>
      <c r="G23" s="13">
        <v>82</v>
      </c>
      <c r="H23" s="13">
        <v>81</v>
      </c>
      <c r="I23" s="13" t="s">
        <v>42</v>
      </c>
    </row>
    <row r="24" spans="1:9" x14ac:dyDescent="0.25">
      <c r="A24" s="1" t="s">
        <v>43</v>
      </c>
      <c r="B24" s="1" t="s">
        <v>41</v>
      </c>
      <c r="C24" s="19">
        <f>1246/74114*365</f>
        <v>6.1363575033057183</v>
      </c>
      <c r="D24" s="13">
        <v>6</v>
      </c>
      <c r="E24" s="13">
        <v>6</v>
      </c>
      <c r="F24" s="13">
        <v>6</v>
      </c>
      <c r="G24" s="13">
        <v>6</v>
      </c>
      <c r="H24" s="13">
        <v>6</v>
      </c>
      <c r="I24" s="13" t="s">
        <v>44</v>
      </c>
    </row>
    <row r="25" spans="1:9" x14ac:dyDescent="0.25">
      <c r="A25" s="1" t="s">
        <v>45</v>
      </c>
      <c r="B25" s="1" t="s">
        <v>41</v>
      </c>
      <c r="C25" s="19">
        <f>125286/C9*365</f>
        <v>186.55767332185604</v>
      </c>
      <c r="D25" s="13">
        <v>185</v>
      </c>
      <c r="E25" s="13">
        <v>184</v>
      </c>
      <c r="F25" s="13">
        <v>183</v>
      </c>
      <c r="G25" s="13">
        <v>182</v>
      </c>
      <c r="H25" s="13">
        <v>181</v>
      </c>
      <c r="I25" s="13" t="s">
        <v>46</v>
      </c>
    </row>
    <row r="26" spans="1:9" x14ac:dyDescent="0.25">
      <c r="A26" s="1"/>
      <c r="B26" s="1"/>
      <c r="C26" s="16"/>
      <c r="D26" s="9"/>
      <c r="E26" s="9"/>
      <c r="F26" s="9"/>
      <c r="G26" s="9"/>
      <c r="H26" s="9"/>
      <c r="I26" s="9"/>
    </row>
    <row r="27" spans="1:9" x14ac:dyDescent="0.25">
      <c r="A27" s="2" t="s">
        <v>47</v>
      </c>
      <c r="B27" s="2"/>
      <c r="C27" s="15"/>
      <c r="D27" s="8"/>
      <c r="E27" s="8"/>
      <c r="F27" s="8"/>
      <c r="G27" s="8"/>
      <c r="H27" s="8"/>
      <c r="I27" s="8"/>
    </row>
    <row r="28" spans="1:9" x14ac:dyDescent="0.25">
      <c r="A28" s="1" t="s">
        <v>48</v>
      </c>
      <c r="B28" s="1" t="s">
        <v>20</v>
      </c>
      <c r="C28" s="18">
        <f>22287/C9</f>
        <v>9.0922071458294243E-2</v>
      </c>
      <c r="D28" s="12">
        <v>0.09</v>
      </c>
      <c r="E28" s="12">
        <v>8.7999999999999995E-2</v>
      </c>
      <c r="F28" s="12">
        <v>8.5999999999999993E-2</v>
      </c>
      <c r="G28" s="12">
        <v>8.4000000000000005E-2</v>
      </c>
      <c r="H28" s="12">
        <v>8.2000000000000003E-2</v>
      </c>
      <c r="I28" s="12" t="s">
        <v>49</v>
      </c>
    </row>
    <row r="29" spans="1:9" x14ac:dyDescent="0.25">
      <c r="A29" s="1" t="s">
        <v>50</v>
      </c>
      <c r="B29" s="1" t="s">
        <v>20</v>
      </c>
      <c r="C29" s="18">
        <f>44477/C9</f>
        <v>0.18144842160230415</v>
      </c>
      <c r="D29" s="12">
        <v>0.18</v>
      </c>
      <c r="E29" s="12">
        <v>0.17</v>
      </c>
      <c r="F29" s="12">
        <v>0.16</v>
      </c>
      <c r="G29" s="12">
        <v>0.15</v>
      </c>
      <c r="H29" s="12">
        <v>0.14000000000000001</v>
      </c>
      <c r="I29" s="12" t="s">
        <v>51</v>
      </c>
    </row>
    <row r="30" spans="1:9" x14ac:dyDescent="0.25">
      <c r="A30" s="1" t="s">
        <v>52</v>
      </c>
      <c r="B30" s="1" t="s">
        <v>20</v>
      </c>
      <c r="C30" s="18">
        <f>69132/C9</f>
        <v>0.28203098865054954</v>
      </c>
      <c r="D30" s="12">
        <v>5.0000000000000001E-3</v>
      </c>
      <c r="E30" s="12">
        <v>5.0000000000000001E-3</v>
      </c>
      <c r="F30" s="12">
        <v>5.0000000000000001E-3</v>
      </c>
      <c r="G30" s="12">
        <v>5.0000000000000001E-3</v>
      </c>
      <c r="H30" s="12">
        <v>5.0000000000000001E-3</v>
      </c>
      <c r="I30" s="12" t="s">
        <v>53</v>
      </c>
    </row>
    <row r="31" spans="1:9" x14ac:dyDescent="0.25">
      <c r="A31" s="1" t="s">
        <v>54</v>
      </c>
      <c r="B31" s="1" t="s">
        <v>20</v>
      </c>
      <c r="C31" s="18">
        <f>21771/88136</f>
        <v>0.24701597531088318</v>
      </c>
      <c r="D31" s="12">
        <v>0.25</v>
      </c>
      <c r="E31" s="12">
        <v>0.25</v>
      </c>
      <c r="F31" s="12">
        <v>0.25</v>
      </c>
      <c r="G31" s="12">
        <v>0.25</v>
      </c>
      <c r="H31" s="12">
        <v>0.25</v>
      </c>
      <c r="I31" s="12" t="s">
        <v>55</v>
      </c>
    </row>
    <row r="32" spans="1:9" x14ac:dyDescent="0.25">
      <c r="A32" s="1" t="s">
        <v>56</v>
      </c>
      <c r="B32" s="1" t="s">
        <v>20</v>
      </c>
      <c r="C32" s="18">
        <f>17254/C9</f>
        <v>7.0389438728469908E-2</v>
      </c>
      <c r="D32" s="12">
        <v>0.06</v>
      </c>
      <c r="E32" s="12">
        <v>0.06</v>
      </c>
      <c r="F32" s="12">
        <v>0.06</v>
      </c>
      <c r="G32" s="12">
        <v>0.06</v>
      </c>
      <c r="H32" s="12">
        <v>0.06</v>
      </c>
      <c r="I32" s="12" t="s">
        <v>57</v>
      </c>
    </row>
    <row r="33" spans="1:9" x14ac:dyDescent="0.25">
      <c r="A33" s="1" t="s">
        <v>58</v>
      </c>
      <c r="B33" s="1" t="s">
        <v>13</v>
      </c>
      <c r="C33" s="16">
        <v>24395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 t="s">
        <v>59</v>
      </c>
    </row>
    <row r="34" spans="1:9" x14ac:dyDescent="0.25">
      <c r="A34" s="1" t="s">
        <v>60</v>
      </c>
      <c r="B34" s="1" t="s">
        <v>20</v>
      </c>
      <c r="C34" s="18">
        <f>10734/C9</f>
        <v>4.3790439046678793E-2</v>
      </c>
      <c r="D34" s="12">
        <v>0.04</v>
      </c>
      <c r="E34" s="12">
        <v>3.9E-2</v>
      </c>
      <c r="F34" s="12">
        <v>3.7999999999999999E-2</v>
      </c>
      <c r="G34" s="12">
        <v>3.6999999999999998E-2</v>
      </c>
      <c r="H34" s="12">
        <v>3.5999999999999997E-2</v>
      </c>
      <c r="I34" s="12" t="s">
        <v>61</v>
      </c>
    </row>
    <row r="35" spans="1:9" x14ac:dyDescent="0.25">
      <c r="A35" s="1" t="s">
        <v>62</v>
      </c>
      <c r="B35" s="1" t="s">
        <v>20</v>
      </c>
      <c r="C35" s="18">
        <f>21064/C9</f>
        <v>8.5932719217369308E-2</v>
      </c>
      <c r="D35" s="12">
        <v>8.5000000000000006E-2</v>
      </c>
      <c r="E35" s="12">
        <v>8.3000000000000004E-2</v>
      </c>
      <c r="F35" s="12">
        <v>8.1000000000000003E-2</v>
      </c>
      <c r="G35" s="12">
        <v>7.9000000000000001E-2</v>
      </c>
      <c r="H35" s="12">
        <v>7.6999999999999999E-2</v>
      </c>
      <c r="I35" s="12" t="s">
        <v>63</v>
      </c>
    </row>
    <row r="36" spans="1:9" x14ac:dyDescent="0.25">
      <c r="A36" s="1" t="s">
        <v>64</v>
      </c>
      <c r="B36" s="1" t="s">
        <v>20</v>
      </c>
      <c r="C36" s="18">
        <f>97618/C9</f>
        <v>0.39824250781243625</v>
      </c>
      <c r="D36" s="12">
        <v>0.39</v>
      </c>
      <c r="E36" s="12">
        <v>0.38</v>
      </c>
      <c r="F36" s="12">
        <v>0.37</v>
      </c>
      <c r="G36" s="12">
        <v>0.36</v>
      </c>
      <c r="H36" s="12">
        <v>0.35</v>
      </c>
      <c r="I36" s="12" t="s">
        <v>65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88B1B-255D-49D2-8A42-94412F7E04F9}">
  <dimension ref="A1:H30"/>
  <sheetViews>
    <sheetView showGridLines="0" workbookViewId="0"/>
  </sheetViews>
  <sheetFormatPr defaultRowHeight="15" x14ac:dyDescent="0.25"/>
  <cols>
    <col min="1" max="1" width="39" customWidth="1"/>
    <col min="2" max="2" width="13.7109375" customWidth="1"/>
    <col min="3" max="8" width="15.5703125" customWidth="1"/>
  </cols>
  <sheetData>
    <row r="1" spans="1:8" x14ac:dyDescent="0.25">
      <c r="A1" s="2" t="s">
        <v>66</v>
      </c>
      <c r="B1" s="2"/>
      <c r="C1" s="2"/>
      <c r="D1" s="2"/>
      <c r="E1" s="2"/>
      <c r="F1" s="2"/>
      <c r="G1" s="2"/>
      <c r="H1" s="2"/>
    </row>
    <row r="2" spans="1:8" x14ac:dyDescent="0.25">
      <c r="A2" s="4" t="s">
        <v>67</v>
      </c>
      <c r="B2" s="4"/>
      <c r="C2" s="4"/>
      <c r="D2" s="4"/>
      <c r="E2" s="4"/>
      <c r="F2" s="4"/>
      <c r="G2" s="4"/>
      <c r="H2" s="4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5" t="s">
        <v>68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</row>
    <row r="5" spans="1:8" x14ac:dyDescent="0.25">
      <c r="A5" s="2" t="s">
        <v>69</v>
      </c>
      <c r="B5" s="2"/>
      <c r="C5" s="15"/>
      <c r="D5" s="8"/>
      <c r="E5" s="8"/>
      <c r="F5" s="8"/>
      <c r="G5" s="8"/>
      <c r="H5" s="8"/>
    </row>
    <row r="6" spans="1:8" x14ac:dyDescent="0.25">
      <c r="A6" s="1" t="s">
        <v>12</v>
      </c>
      <c r="B6" s="1" t="s">
        <v>13</v>
      </c>
      <c r="C6" s="16">
        <f>Assumptions!C6</f>
        <v>77728</v>
      </c>
      <c r="D6" s="9">
        <f>Assumptions!D6</f>
        <v>87055.360000000015</v>
      </c>
      <c r="E6" s="9">
        <f>Assumptions!E6</f>
        <v>96631.449600000022</v>
      </c>
      <c r="F6" s="9">
        <f>Assumptions!F6</f>
        <v>106294.59456000003</v>
      </c>
      <c r="G6" s="9">
        <f>Assumptions!G6</f>
        <v>115861.10807040003</v>
      </c>
      <c r="H6" s="9">
        <f>Assumptions!H6</f>
        <v>125129.99671603205</v>
      </c>
    </row>
    <row r="7" spans="1:8" x14ac:dyDescent="0.25">
      <c r="A7" s="1" t="s">
        <v>15</v>
      </c>
      <c r="B7" s="1" t="s">
        <v>13</v>
      </c>
      <c r="C7" s="16">
        <f>Assumptions!C7</f>
        <v>105362</v>
      </c>
      <c r="D7" s="9">
        <f>Assumptions!D7</f>
        <v>126434.4</v>
      </c>
      <c r="E7" s="9">
        <f>Assumptions!E7</f>
        <v>149192.59199999998</v>
      </c>
      <c r="F7" s="9">
        <f>Assumptions!F7</f>
        <v>173063.40671999997</v>
      </c>
      <c r="G7" s="9">
        <f>Assumptions!G7</f>
        <v>197292.28366079999</v>
      </c>
      <c r="H7" s="9">
        <f>Assumptions!H7</f>
        <v>220967.35770009601</v>
      </c>
    </row>
    <row r="8" spans="1:8" ht="15.75" thickBot="1" x14ac:dyDescent="0.3">
      <c r="A8" s="1" t="s">
        <v>16</v>
      </c>
      <c r="B8" s="1" t="s">
        <v>13</v>
      </c>
      <c r="C8" s="16">
        <f>Assumptions!C8</f>
        <v>62032</v>
      </c>
      <c r="D8" s="9">
        <f>Assumptions!D8</f>
        <v>66994.559999999998</v>
      </c>
      <c r="E8" s="9">
        <f>Assumptions!E8</f>
        <v>71014.233600000007</v>
      </c>
      <c r="F8" s="9">
        <f>Assumptions!F8</f>
        <v>74564.945280000014</v>
      </c>
      <c r="G8" s="9">
        <f>Assumptions!G8</f>
        <v>77547.543091200016</v>
      </c>
      <c r="H8" s="9">
        <f>Assumptions!H8</f>
        <v>79873.969383936012</v>
      </c>
    </row>
    <row r="9" spans="1:8" ht="15.75" thickTop="1" x14ac:dyDescent="0.25">
      <c r="A9" s="7" t="s">
        <v>17</v>
      </c>
      <c r="B9" s="7" t="s">
        <v>13</v>
      </c>
      <c r="C9" s="17">
        <v>245122</v>
      </c>
      <c r="D9" s="10">
        <f>SUM(D6:D8)</f>
        <v>280484.32</v>
      </c>
      <c r="E9" s="10">
        <f>SUM(E6:E8)</f>
        <v>316838.27520000003</v>
      </c>
      <c r="F9" s="10">
        <f>SUM(F6:F8)</f>
        <v>353922.94655999995</v>
      </c>
      <c r="G9" s="10">
        <f>SUM(G6:G8)</f>
        <v>390700.93482240004</v>
      </c>
      <c r="H9" s="10">
        <f>SUM(H6:H8)</f>
        <v>425971.3238000641</v>
      </c>
    </row>
    <row r="10" spans="1:8" x14ac:dyDescent="0.25">
      <c r="A10" s="1" t="s">
        <v>70</v>
      </c>
      <c r="B10" s="1" t="s">
        <v>20</v>
      </c>
      <c r="C10" s="18"/>
      <c r="D10" s="11">
        <f>D9/C9-1</f>
        <v>0.14426416233549011</v>
      </c>
      <c r="E10" s="11">
        <f>E9/D9-1</f>
        <v>0.12961136365840353</v>
      </c>
      <c r="F10" s="11">
        <f>F9/E9-1</f>
        <v>0.11704605870799756</v>
      </c>
      <c r="G10" s="11">
        <f>G9/F9-1</f>
        <v>0.10391524092989313</v>
      </c>
      <c r="H10" s="11">
        <f>H9/G9-1</f>
        <v>9.0274647010242903E-2</v>
      </c>
    </row>
    <row r="11" spans="1:8" x14ac:dyDescent="0.25">
      <c r="A11" s="1"/>
      <c r="B11" s="1"/>
      <c r="C11" s="16"/>
      <c r="D11" s="9"/>
      <c r="E11" s="9"/>
      <c r="F11" s="9"/>
      <c r="G11" s="9"/>
      <c r="H11" s="9"/>
    </row>
    <row r="12" spans="1:8" x14ac:dyDescent="0.25">
      <c r="A12" s="2" t="s">
        <v>71</v>
      </c>
      <c r="B12" s="2"/>
      <c r="C12" s="15"/>
      <c r="D12" s="8"/>
      <c r="E12" s="8"/>
      <c r="F12" s="8"/>
      <c r="G12" s="8"/>
      <c r="H12" s="8"/>
    </row>
    <row r="13" spans="1:8" ht="15.75" thickBot="1" x14ac:dyDescent="0.3">
      <c r="A13" s="1" t="s">
        <v>72</v>
      </c>
      <c r="B13" s="1" t="s">
        <v>13</v>
      </c>
      <c r="C13" s="16">
        <v>74114</v>
      </c>
      <c r="D13" s="9">
        <f>D9*(1-Assumptions!D15)</f>
        <v>86950.13920000002</v>
      </c>
      <c r="E13" s="9">
        <f>E9*(1-Assumptions!E15)</f>
        <v>98853.54186240003</v>
      </c>
      <c r="F13" s="9">
        <f>F9*(1-Assumptions!F15)</f>
        <v>110423.95932672001</v>
      </c>
      <c r="G13" s="9">
        <f>G9*(1-Assumptions!G15)</f>
        <v>121117.28979494404</v>
      </c>
      <c r="H13" s="9">
        <f>H9*(1-Assumptions!H15)</f>
        <v>131199.16773041975</v>
      </c>
    </row>
    <row r="14" spans="1:8" ht="15.75" thickTop="1" x14ac:dyDescent="0.25">
      <c r="A14" s="7" t="s">
        <v>73</v>
      </c>
      <c r="B14" s="7" t="s">
        <v>13</v>
      </c>
      <c r="C14" s="17">
        <f>C9-C13</f>
        <v>171008</v>
      </c>
      <c r="D14" s="10">
        <f>D9-D13</f>
        <v>193534.18079999997</v>
      </c>
      <c r="E14" s="10">
        <f>E9-E13</f>
        <v>217984.73333760002</v>
      </c>
      <c r="F14" s="10">
        <f>F9-F13</f>
        <v>243498.98723327994</v>
      </c>
      <c r="G14" s="10">
        <f>G9-G13</f>
        <v>269583.64502745599</v>
      </c>
      <c r="H14" s="10">
        <f>H9-H13</f>
        <v>294772.15606964438</v>
      </c>
    </row>
    <row r="15" spans="1:8" x14ac:dyDescent="0.25">
      <c r="A15" s="1" t="s">
        <v>27</v>
      </c>
      <c r="B15" s="1" t="s">
        <v>20</v>
      </c>
      <c r="C15" s="18">
        <f>C14/C9</f>
        <v>0.69764443827971379</v>
      </c>
      <c r="D15" s="11">
        <f>D14/D9</f>
        <v>0.68999999999999984</v>
      </c>
      <c r="E15" s="11">
        <f>E14/E9</f>
        <v>0.68799999999999994</v>
      </c>
      <c r="F15" s="11">
        <f>F14/F9</f>
        <v>0.68799999999999994</v>
      </c>
      <c r="G15" s="11">
        <f>G14/G9</f>
        <v>0.69</v>
      </c>
      <c r="H15" s="11">
        <f>H14/H9</f>
        <v>0.69200000000000006</v>
      </c>
    </row>
    <row r="16" spans="1:8" x14ac:dyDescent="0.25">
      <c r="A16" s="1"/>
      <c r="B16" s="1"/>
      <c r="C16" s="16"/>
      <c r="D16" s="9"/>
      <c r="E16" s="9"/>
      <c r="F16" s="9"/>
      <c r="G16" s="9"/>
      <c r="H16" s="9"/>
    </row>
    <row r="17" spans="1:8" x14ac:dyDescent="0.25">
      <c r="A17" s="2" t="s">
        <v>74</v>
      </c>
      <c r="B17" s="2"/>
      <c r="C17" s="15"/>
      <c r="D17" s="8"/>
      <c r="E17" s="8"/>
      <c r="F17" s="8"/>
      <c r="G17" s="8"/>
      <c r="H17" s="8"/>
    </row>
    <row r="18" spans="1:8" x14ac:dyDescent="0.25">
      <c r="A18" s="1" t="s">
        <v>75</v>
      </c>
      <c r="B18" s="1" t="s">
        <v>13</v>
      </c>
      <c r="C18" s="16">
        <v>29510</v>
      </c>
      <c r="D18" s="9">
        <f>D9*Assumptions!D16</f>
        <v>35060.54</v>
      </c>
      <c r="E18" s="9">
        <f>E9*Assumptions!E16</f>
        <v>38971.107849600005</v>
      </c>
      <c r="F18" s="9">
        <f>F9*Assumptions!F16</f>
        <v>42824.676533759994</v>
      </c>
      <c r="G18" s="9">
        <f>G9*Assumptions!G16</f>
        <v>46884.112178688003</v>
      </c>
      <c r="H18" s="9">
        <f>H9*Assumptions!H16</f>
        <v>50264.616208407562</v>
      </c>
    </row>
    <row r="19" spans="1:8" x14ac:dyDescent="0.25">
      <c r="A19" s="1" t="s">
        <v>76</v>
      </c>
      <c r="B19" s="1" t="s">
        <v>13</v>
      </c>
      <c r="C19" s="16">
        <v>24456</v>
      </c>
      <c r="D19" s="9">
        <f>D9*Assumptions!D17</f>
        <v>28048.432000000001</v>
      </c>
      <c r="E19" s="9">
        <f>E9*Assumptions!E17</f>
        <v>31050.150969600003</v>
      </c>
      <c r="F19" s="9">
        <f>F9*Assumptions!F17</f>
        <v>33976.602869759998</v>
      </c>
      <c r="G19" s="9">
        <f>G9*Assumptions!G17</f>
        <v>37116.588808128006</v>
      </c>
      <c r="H19" s="9">
        <f>H9*Assumptions!H17</f>
        <v>40041.304437206025</v>
      </c>
    </row>
    <row r="20" spans="1:8" ht="15.75" thickBot="1" x14ac:dyDescent="0.3">
      <c r="A20" s="1" t="s">
        <v>77</v>
      </c>
      <c r="B20" s="1" t="s">
        <v>13</v>
      </c>
      <c r="C20" s="16">
        <v>7609</v>
      </c>
      <c r="D20" s="9">
        <f>D9*Assumptions!D18</f>
        <v>8414.5295999999998</v>
      </c>
      <c r="E20" s="9">
        <f>E9*Assumptions!E18</f>
        <v>9188.3099808000006</v>
      </c>
      <c r="F20" s="9">
        <f>F9*Assumptions!F18</f>
        <v>9909.8425036799981</v>
      </c>
      <c r="G20" s="9">
        <f>G9*Assumptions!G18</f>
        <v>10548.925240204801</v>
      </c>
      <c r="H20" s="9">
        <f>H9*Assumptions!H18</f>
        <v>11501.225742601731</v>
      </c>
    </row>
    <row r="21" spans="1:8" ht="16.5" thickTop="1" thickBot="1" x14ac:dyDescent="0.3">
      <c r="A21" s="7" t="s">
        <v>78</v>
      </c>
      <c r="B21" s="7" t="s">
        <v>13</v>
      </c>
      <c r="C21" s="17">
        <f>SUM(C18:C20)</f>
        <v>61575</v>
      </c>
      <c r="D21" s="10">
        <f>SUM(D18:D20)</f>
        <v>71523.501600000003</v>
      </c>
      <c r="E21" s="10">
        <f>SUM(E18:E20)</f>
        <v>79209.568800000008</v>
      </c>
      <c r="F21" s="10">
        <f>SUM(F18:F20)</f>
        <v>86711.121907199995</v>
      </c>
      <c r="G21" s="10">
        <f>SUM(G18:G20)</f>
        <v>94549.62622702081</v>
      </c>
      <c r="H21" s="10">
        <f>SUM(H18:H20)</f>
        <v>101807.14638821532</v>
      </c>
    </row>
    <row r="22" spans="1:8" ht="15.75" thickTop="1" x14ac:dyDescent="0.25">
      <c r="A22" s="7" t="s">
        <v>79</v>
      </c>
      <c r="B22" s="7" t="s">
        <v>13</v>
      </c>
      <c r="C22" s="17">
        <v>109433</v>
      </c>
      <c r="D22" s="10">
        <f>D14-D21</f>
        <v>122010.67919999997</v>
      </c>
      <c r="E22" s="10">
        <f>E14-E21</f>
        <v>138775.16453760001</v>
      </c>
      <c r="F22" s="10">
        <f>F14-F21</f>
        <v>156787.86532607995</v>
      </c>
      <c r="G22" s="10">
        <f>G14-G21</f>
        <v>175034.01880043518</v>
      </c>
      <c r="H22" s="10">
        <f>H14-H21</f>
        <v>192965.00968142907</v>
      </c>
    </row>
    <row r="23" spans="1:8" x14ac:dyDescent="0.25">
      <c r="A23" s="1" t="s">
        <v>80</v>
      </c>
      <c r="B23" s="1" t="s">
        <v>20</v>
      </c>
      <c r="C23" s="18">
        <f>C22/C9</f>
        <v>0.44644299573273716</v>
      </c>
      <c r="D23" s="11">
        <f>D22/D9</f>
        <v>0.43499999999999989</v>
      </c>
      <c r="E23" s="11">
        <f>E22/E9</f>
        <v>0.438</v>
      </c>
      <c r="F23" s="11">
        <f>F22/F9</f>
        <v>0.44299999999999989</v>
      </c>
      <c r="G23" s="11">
        <f>G22/G9</f>
        <v>0.4479999999999999</v>
      </c>
      <c r="H23" s="11">
        <f>H22/H9</f>
        <v>0.45300000000000007</v>
      </c>
    </row>
    <row r="24" spans="1:8" x14ac:dyDescent="0.25">
      <c r="A24" s="1"/>
      <c r="B24" s="1"/>
      <c r="C24" s="16"/>
      <c r="D24" s="9"/>
      <c r="E24" s="9"/>
      <c r="F24" s="9"/>
      <c r="G24" s="9"/>
      <c r="H24" s="9"/>
    </row>
    <row r="25" spans="1:8" x14ac:dyDescent="0.25">
      <c r="A25" s="2" t="s">
        <v>81</v>
      </c>
      <c r="B25" s="2"/>
      <c r="C25" s="15"/>
      <c r="D25" s="8"/>
      <c r="E25" s="8"/>
      <c r="F25" s="8"/>
      <c r="G25" s="8"/>
      <c r="H25" s="8"/>
    </row>
    <row r="26" spans="1:8" x14ac:dyDescent="0.25">
      <c r="A26" s="1" t="s">
        <v>82</v>
      </c>
      <c r="B26" s="1" t="s">
        <v>13</v>
      </c>
      <c r="C26" s="16">
        <v>2935</v>
      </c>
      <c r="D26" s="9">
        <f>AVERAGE('Balance Sheet'!C23:D23)*Assumptions!D20</f>
        <v>1707.52</v>
      </c>
      <c r="E26" s="9">
        <f>AVERAGE('Balance Sheet'!D23:E23)*Assumptions!E20</f>
        <v>1707.52</v>
      </c>
      <c r="F26" s="9">
        <f>AVERAGE('Balance Sheet'!E23:F23)*Assumptions!F20</f>
        <v>1707.52</v>
      </c>
      <c r="G26" s="9">
        <f>AVERAGE('Balance Sheet'!F23:G23)*Assumptions!G20</f>
        <v>1707.52</v>
      </c>
      <c r="H26" s="9">
        <f>AVERAGE('Balance Sheet'!G23:H23)*Assumptions!H20</f>
        <v>1707.52</v>
      </c>
    </row>
    <row r="27" spans="1:8" ht="15.75" thickBot="1" x14ac:dyDescent="0.3">
      <c r="A27" s="1" t="s">
        <v>83</v>
      </c>
      <c r="B27" s="1" t="s">
        <v>13</v>
      </c>
      <c r="C27" s="16">
        <v>1289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</row>
    <row r="28" spans="1:8" ht="16.5" thickTop="1" thickBot="1" x14ac:dyDescent="0.3">
      <c r="A28" s="7" t="s">
        <v>84</v>
      </c>
      <c r="B28" s="7" t="s">
        <v>13</v>
      </c>
      <c r="C28" s="17">
        <f>C22-C26+C27</f>
        <v>107787</v>
      </c>
      <c r="D28" s="10">
        <f>D22-D26+D27</f>
        <v>120303.15919999997</v>
      </c>
      <c r="E28" s="10">
        <f>E22-E26+E27</f>
        <v>137067.64453760002</v>
      </c>
      <c r="F28" s="10">
        <f>F22-F26+F27</f>
        <v>155080.34532607996</v>
      </c>
      <c r="G28" s="10">
        <f>G22-G26+G27</f>
        <v>173326.49880043519</v>
      </c>
      <c r="H28" s="10">
        <f>H22-H26+H27</f>
        <v>191257.48968142908</v>
      </c>
    </row>
    <row r="29" spans="1:8" ht="16.5" thickTop="1" thickBot="1" x14ac:dyDescent="0.3">
      <c r="A29" s="7" t="s">
        <v>85</v>
      </c>
      <c r="B29" s="7" t="s">
        <v>13</v>
      </c>
      <c r="C29" s="17">
        <v>19651</v>
      </c>
      <c r="D29" s="10">
        <f>D28*Assumptions!D19</f>
        <v>21895.174974399994</v>
      </c>
      <c r="E29" s="10">
        <f>E28*Assumptions!E19</f>
        <v>24946.311305843203</v>
      </c>
      <c r="F29" s="10">
        <f>F28*Assumptions!F19</f>
        <v>28224.622849346553</v>
      </c>
      <c r="G29" s="10">
        <f>G28*Assumptions!G19</f>
        <v>31545.422781679204</v>
      </c>
      <c r="H29" s="10">
        <f>H28*Assumptions!H19</f>
        <v>34808.863122020091</v>
      </c>
    </row>
    <row r="30" spans="1:8" ht="15.75" thickTop="1" x14ac:dyDescent="0.25">
      <c r="A30" s="7" t="s">
        <v>86</v>
      </c>
      <c r="B30" s="7" t="s">
        <v>13</v>
      </c>
      <c r="C30" s="17">
        <v>88136</v>
      </c>
      <c r="D30" s="10">
        <f>D28-D29</f>
        <v>98407.984225599968</v>
      </c>
      <c r="E30" s="10">
        <f>E28-E29</f>
        <v>112121.33323175681</v>
      </c>
      <c r="F30" s="10">
        <f>F28-F29</f>
        <v>126855.72247673341</v>
      </c>
      <c r="G30" s="10">
        <f>G28-G29</f>
        <v>141781.07601875599</v>
      </c>
      <c r="H30" s="10">
        <f>H28-H29</f>
        <v>156448.62655940899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8562A-EB6A-4CA5-B342-19E04CA05DC5}">
  <dimension ref="A1:H32"/>
  <sheetViews>
    <sheetView showGridLines="0" workbookViewId="0"/>
  </sheetViews>
  <sheetFormatPr defaultRowHeight="15" x14ac:dyDescent="0.25"/>
  <cols>
    <col min="1" max="1" width="39" customWidth="1"/>
    <col min="2" max="2" width="13.7109375" customWidth="1"/>
    <col min="3" max="8" width="15.5703125" customWidth="1"/>
  </cols>
  <sheetData>
    <row r="1" spans="1:8" x14ac:dyDescent="0.25">
      <c r="A1" s="2" t="s">
        <v>87</v>
      </c>
      <c r="B1" s="2"/>
      <c r="C1" s="2"/>
      <c r="D1" s="2"/>
      <c r="E1" s="2"/>
      <c r="F1" s="2"/>
      <c r="G1" s="2"/>
      <c r="H1" s="2"/>
    </row>
    <row r="2" spans="1:8" x14ac:dyDescent="0.25">
      <c r="A2" s="4" t="s">
        <v>88</v>
      </c>
      <c r="B2" s="4"/>
      <c r="C2" s="4"/>
      <c r="D2" s="4"/>
      <c r="E2" s="4"/>
      <c r="F2" s="4"/>
      <c r="G2" s="4"/>
      <c r="H2" s="4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5" t="s">
        <v>68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</row>
    <row r="5" spans="1:8" x14ac:dyDescent="0.25">
      <c r="A5" s="2" t="s">
        <v>89</v>
      </c>
      <c r="B5" s="2"/>
      <c r="C5" s="15"/>
      <c r="D5" s="8"/>
      <c r="E5" s="8"/>
      <c r="F5" s="8"/>
      <c r="G5" s="8"/>
      <c r="H5" s="8"/>
    </row>
    <row r="6" spans="1:8" x14ac:dyDescent="0.25">
      <c r="A6" s="1" t="s">
        <v>90</v>
      </c>
      <c r="B6" s="1" t="s">
        <v>13</v>
      </c>
      <c r="C6" s="16">
        <v>80500</v>
      </c>
      <c r="D6" s="9">
        <f>'Cash Flow Statement'!D25</f>
        <v>131118.44338235067</v>
      </c>
      <c r="E6" s="9">
        <f>'Cash Flow Statement'!E25</f>
        <v>190854.82481532334</v>
      </c>
      <c r="F6" s="9">
        <f>'Cash Flow Statement'!F25</f>
        <v>260321.98620065331</v>
      </c>
      <c r="G6" s="9">
        <f>'Cash Flow Statement'!G25</f>
        <v>338862.63382599183</v>
      </c>
      <c r="H6" s="9">
        <f>'Cash Flow Statement'!H25</f>
        <v>428636.98934248701</v>
      </c>
    </row>
    <row r="7" spans="1:8" x14ac:dyDescent="0.25">
      <c r="A7" s="1" t="s">
        <v>91</v>
      </c>
      <c r="B7" s="1" t="s">
        <v>13</v>
      </c>
      <c r="C7" s="16">
        <v>56924</v>
      </c>
      <c r="D7" s="9">
        <f>'Income Statement'!D9*Assumptions!D23/365</f>
        <v>64549.816109589039</v>
      </c>
      <c r="E7" s="9">
        <f>'Income Statement'!E9*Assumptions!E23/365</f>
        <v>72048.155730410959</v>
      </c>
      <c r="F7" s="9">
        <f>'Income Statement'!F9*Assumptions!F23/365</f>
        <v>79511.456487452044</v>
      </c>
      <c r="G7" s="9">
        <f>'Income Statement'!G9*Assumptions!G23/365</f>
        <v>87773.908645032338</v>
      </c>
      <c r="H7" s="9">
        <f>'Income Statement'!H9*Assumptions!H23/365</f>
        <v>94530.622541932025</v>
      </c>
    </row>
    <row r="8" spans="1:8" x14ac:dyDescent="0.25">
      <c r="A8" s="1" t="s">
        <v>92</v>
      </c>
      <c r="B8" s="1" t="s">
        <v>13</v>
      </c>
      <c r="C8" s="16">
        <v>1246</v>
      </c>
      <c r="D8" s="9">
        <f>'Income Statement'!D13*Assumptions!D24/365</f>
        <v>1429.317356712329</v>
      </c>
      <c r="E8" s="9">
        <f>'Income Statement'!E13*Assumptions!E24/365</f>
        <v>1624.9897292449321</v>
      </c>
      <c r="F8" s="9">
        <f>'Income Statement'!F13*Assumptions!F24/365</f>
        <v>1815.1883724940278</v>
      </c>
      <c r="G8" s="9">
        <f>'Income Statement'!G13*Assumptions!G24/365</f>
        <v>1990.9691473141486</v>
      </c>
      <c r="H8" s="9">
        <f>'Income Statement'!H13*Assumptions!H24/365</f>
        <v>2156.6986476233383</v>
      </c>
    </row>
    <row r="9" spans="1:8" ht="15.75" thickBot="1" x14ac:dyDescent="0.3">
      <c r="A9" s="1" t="s">
        <v>93</v>
      </c>
      <c r="B9" s="1" t="s">
        <v>13</v>
      </c>
      <c r="C9" s="16">
        <v>21064</v>
      </c>
      <c r="D9" s="9">
        <f>'Income Statement'!D9*Assumptions!D35</f>
        <v>23841.167200000004</v>
      </c>
      <c r="E9" s="9">
        <f>'Income Statement'!E9*Assumptions!E35</f>
        <v>26297.576841600003</v>
      </c>
      <c r="F9" s="9">
        <f>'Income Statement'!F9*Assumptions!F35</f>
        <v>28667.758671359996</v>
      </c>
      <c r="G9" s="9">
        <f>'Income Statement'!G9*Assumptions!G35</f>
        <v>30865.373850969605</v>
      </c>
      <c r="H9" s="9">
        <f>'Income Statement'!H9*Assumptions!H35</f>
        <v>32799.791932604938</v>
      </c>
    </row>
    <row r="10" spans="1:8" ht="15.75" thickTop="1" x14ac:dyDescent="0.25">
      <c r="A10" s="7" t="s">
        <v>94</v>
      </c>
      <c r="B10" s="7" t="s">
        <v>13</v>
      </c>
      <c r="C10" s="17">
        <f>SUM(C6:C9)</f>
        <v>159734</v>
      </c>
      <c r="D10" s="10">
        <f>SUM(D6:D9)</f>
        <v>220938.74404865204</v>
      </c>
      <c r="E10" s="10">
        <f>SUM(E6:E9)</f>
        <v>290825.54711657926</v>
      </c>
      <c r="F10" s="10">
        <f>SUM(F6:F9)</f>
        <v>370316.38973195932</v>
      </c>
      <c r="G10" s="10">
        <f>SUM(G6:G9)</f>
        <v>459492.88546930789</v>
      </c>
      <c r="H10" s="10">
        <f>SUM(H6:H9)</f>
        <v>558124.10246464738</v>
      </c>
    </row>
    <row r="11" spans="1:8" x14ac:dyDescent="0.25">
      <c r="A11" s="1"/>
      <c r="B11" s="1"/>
      <c r="C11" s="16"/>
      <c r="D11" s="9"/>
      <c r="E11" s="9"/>
      <c r="F11" s="9"/>
      <c r="G11" s="9"/>
      <c r="H11" s="9"/>
    </row>
    <row r="12" spans="1:8" x14ac:dyDescent="0.25">
      <c r="A12" s="2" t="s">
        <v>95</v>
      </c>
      <c r="B12" s="2"/>
      <c r="C12" s="15"/>
      <c r="D12" s="8"/>
      <c r="E12" s="8"/>
      <c r="F12" s="8"/>
      <c r="G12" s="8"/>
      <c r="H12" s="8"/>
    </row>
    <row r="13" spans="1:8" x14ac:dyDescent="0.25">
      <c r="A13" s="1" t="s">
        <v>96</v>
      </c>
      <c r="B13" s="1" t="s">
        <v>13</v>
      </c>
      <c r="C13" s="16">
        <v>135591</v>
      </c>
      <c r="D13" s="9">
        <f>C13-'Cash Flow Statement'!D13-'Cash Flow Statement'!D7</f>
        <v>160834.5888</v>
      </c>
      <c r="E13" s="9">
        <f>D13-'Cash Flow Statement'!E13-'Cash Flow Statement'!E7</f>
        <v>186815.32736639999</v>
      </c>
      <c r="F13" s="9">
        <f>E13-'Cash Flow Statement'!F13-'Cash Flow Statement'!F7</f>
        <v>213005.62541183998</v>
      </c>
      <c r="G13" s="9">
        <f>F13-'Cash Flow Statement'!G13-'Cash Flow Statement'!G7</f>
        <v>238791.88711011835</v>
      </c>
      <c r="H13" s="9">
        <f>G13-'Cash Flow Statement'!H13-'Cash Flow Statement'!H7</f>
        <v>263498.22389052209</v>
      </c>
    </row>
    <row r="14" spans="1:8" x14ac:dyDescent="0.25">
      <c r="A14" s="1" t="s">
        <v>97</v>
      </c>
      <c r="B14" s="1" t="s">
        <v>13</v>
      </c>
      <c r="C14" s="16">
        <v>119220</v>
      </c>
      <c r="D14" s="9">
        <f>C14-'Cash Flow Statement'!D14</f>
        <v>120622.4216</v>
      </c>
      <c r="E14" s="9">
        <f>D14-'Cash Flow Statement'!E14</f>
        <v>122206.612976</v>
      </c>
      <c r="F14" s="9">
        <f>E14-'Cash Flow Statement'!F14</f>
        <v>123976.2277088</v>
      </c>
      <c r="G14" s="9">
        <f>F14-'Cash Flow Statement'!G14</f>
        <v>125929.732382912</v>
      </c>
      <c r="H14" s="9">
        <f>G14-'Cash Flow Statement'!H14</f>
        <v>128059.58900191232</v>
      </c>
    </row>
    <row r="15" spans="1:8" ht="15.75" thickBot="1" x14ac:dyDescent="0.3">
      <c r="A15" s="1" t="s">
        <v>98</v>
      </c>
      <c r="B15" s="1" t="s">
        <v>13</v>
      </c>
      <c r="C15" s="16">
        <v>97618</v>
      </c>
      <c r="D15" s="9">
        <f>'Income Statement'!D9*Assumptions!D36</f>
        <v>109388.8848</v>
      </c>
      <c r="E15" s="9">
        <f>'Income Statement'!E9*Assumptions!E36</f>
        <v>120398.54457600001</v>
      </c>
      <c r="F15" s="9">
        <f>'Income Statement'!F9*Assumptions!F36</f>
        <v>130951.49022719997</v>
      </c>
      <c r="G15" s="9">
        <f>'Income Statement'!G9*Assumptions!G36</f>
        <v>140652.33653606402</v>
      </c>
      <c r="H15" s="9">
        <f>'Income Statement'!H9*Assumptions!H36</f>
        <v>149089.96333002244</v>
      </c>
    </row>
    <row r="16" spans="1:8" ht="16.5" thickTop="1" thickBot="1" x14ac:dyDescent="0.3">
      <c r="A16" s="7" t="s">
        <v>99</v>
      </c>
      <c r="B16" s="7" t="s">
        <v>13</v>
      </c>
      <c r="C16" s="17">
        <f>SUM(C13:C15)</f>
        <v>352429</v>
      </c>
      <c r="D16" s="10">
        <f>SUM(D13:D15)</f>
        <v>390845.89520000003</v>
      </c>
      <c r="E16" s="10">
        <f>SUM(E13:E15)</f>
        <v>429420.4849184</v>
      </c>
      <c r="F16" s="10">
        <f>SUM(F13:F15)</f>
        <v>467933.34334783995</v>
      </c>
      <c r="G16" s="10">
        <f>SUM(G13:G15)</f>
        <v>505373.95602909441</v>
      </c>
      <c r="H16" s="10">
        <f>SUM(H13:H15)</f>
        <v>540647.77622245683</v>
      </c>
    </row>
    <row r="17" spans="1:8" ht="15.75" thickTop="1" x14ac:dyDescent="0.25">
      <c r="A17" s="7" t="s">
        <v>100</v>
      </c>
      <c r="B17" s="7" t="s">
        <v>13</v>
      </c>
      <c r="C17" s="17">
        <f>C10+C16</f>
        <v>512163</v>
      </c>
      <c r="D17" s="10">
        <f>D10+D16</f>
        <v>611784.63924865203</v>
      </c>
      <c r="E17" s="10">
        <f>E10+E16</f>
        <v>720246.0320349792</v>
      </c>
      <c r="F17" s="10">
        <f>F10+F16</f>
        <v>838249.73307979922</v>
      </c>
      <c r="G17" s="10">
        <f>G10+G16</f>
        <v>964866.8414984023</v>
      </c>
      <c r="H17" s="10">
        <f>H10+H16</f>
        <v>1098771.8786871042</v>
      </c>
    </row>
    <row r="18" spans="1:8" x14ac:dyDescent="0.25">
      <c r="A18" s="1"/>
      <c r="B18" s="1"/>
      <c r="C18" s="16"/>
      <c r="D18" s="9"/>
      <c r="E18" s="9"/>
      <c r="F18" s="9"/>
      <c r="G18" s="9"/>
      <c r="H18" s="9"/>
    </row>
    <row r="19" spans="1:8" x14ac:dyDescent="0.25">
      <c r="A19" s="1" t="s">
        <v>101</v>
      </c>
      <c r="B19" s="1"/>
      <c r="C19" s="16"/>
      <c r="D19" s="9"/>
      <c r="E19" s="9"/>
      <c r="F19" s="9"/>
      <c r="G19" s="9"/>
      <c r="H19" s="9"/>
    </row>
    <row r="20" spans="1:8" x14ac:dyDescent="0.25">
      <c r="A20" s="1" t="s">
        <v>102</v>
      </c>
      <c r="B20" s="1" t="s">
        <v>13</v>
      </c>
      <c r="C20" s="16">
        <v>125286</v>
      </c>
      <c r="D20" s="9">
        <f>'Income Statement'!D9*Assumptions!D25/365</f>
        <v>142163.28547945205</v>
      </c>
      <c r="E20" s="9">
        <f>'Income Statement'!E9*Assumptions!E25/365</f>
        <v>159721.21270356167</v>
      </c>
      <c r="F20" s="9">
        <f>'Income Statement'!F9*Assumptions!F25/365</f>
        <v>177446.29923419177</v>
      </c>
      <c r="G20" s="9">
        <f>'Income Statement'!G9*Assumptions!G25/365</f>
        <v>194815.26065116932</v>
      </c>
      <c r="H20" s="9">
        <f>'Income Statement'!H9*Assumptions!H25/365</f>
        <v>211235.0948159222</v>
      </c>
    </row>
    <row r="21" spans="1:8" x14ac:dyDescent="0.25">
      <c r="A21" s="1"/>
      <c r="B21" s="1"/>
      <c r="C21" s="16"/>
      <c r="D21" s="9"/>
      <c r="E21" s="9"/>
      <c r="F21" s="9"/>
      <c r="G21" s="9"/>
      <c r="H21" s="9"/>
    </row>
    <row r="22" spans="1:8" x14ac:dyDescent="0.25">
      <c r="A22" s="1" t="s">
        <v>103</v>
      </c>
      <c r="B22" s="1"/>
      <c r="C22" s="16"/>
      <c r="D22" s="9"/>
      <c r="E22" s="9"/>
      <c r="F22" s="9"/>
      <c r="G22" s="9"/>
      <c r="H22" s="9"/>
    </row>
    <row r="23" spans="1:8" ht="15.75" thickBot="1" x14ac:dyDescent="0.3">
      <c r="A23" s="2" t="s">
        <v>104</v>
      </c>
      <c r="B23" s="2" t="s">
        <v>13</v>
      </c>
      <c r="C23" s="15">
        <v>42688</v>
      </c>
      <c r="D23" s="8">
        <f>C23+'Cash Flow Statement'!D20</f>
        <v>42688</v>
      </c>
      <c r="E23" s="8">
        <f>D23+'Cash Flow Statement'!E20</f>
        <v>42688</v>
      </c>
      <c r="F23" s="8">
        <f>E23+'Cash Flow Statement'!F20</f>
        <v>42688</v>
      </c>
      <c r="G23" s="8">
        <f>F23+'Cash Flow Statement'!G20</f>
        <v>42688</v>
      </c>
      <c r="H23" s="8">
        <f>G23+'Cash Flow Statement'!H20</f>
        <v>42688</v>
      </c>
    </row>
    <row r="24" spans="1:8" ht="15.75" thickTop="1" x14ac:dyDescent="0.25">
      <c r="A24" s="7" t="s">
        <v>105</v>
      </c>
      <c r="B24" s="7" t="s">
        <v>13</v>
      </c>
      <c r="C24" s="17">
        <v>75712</v>
      </c>
      <c r="D24" s="10">
        <f>D17-D20-D23-D25</f>
        <v>90260.052000000025</v>
      </c>
      <c r="E24" s="10">
        <f>E17-E20-E23-E25</f>
        <v>103726.12141760008</v>
      </c>
      <c r="F24" s="10">
        <f>F17-F20-F23-F25</f>
        <v>116649.24889855989</v>
      </c>
      <c r="G24" s="10">
        <f>G17-G20-G23-G25</f>
        <v>128547.71038703353</v>
      </c>
      <c r="H24" s="10">
        <f>H17-H20-H23-H25</f>
        <v>138919.75526262738</v>
      </c>
    </row>
    <row r="25" spans="1:8" x14ac:dyDescent="0.25">
      <c r="A25" s="1" t="s">
        <v>106</v>
      </c>
      <c r="B25" s="1" t="s">
        <v>13</v>
      </c>
      <c r="C25" s="16">
        <v>268477</v>
      </c>
      <c r="D25" s="9">
        <f>C25+'Income Statement'!D30+'Cash Flow Statement'!D8+'Cash Flow Statement'!D18+'Cash Flow Statement'!D19</f>
        <v>336673.30176919996</v>
      </c>
      <c r="E25" s="9">
        <f>D25+'Income Statement'!E30+'Cash Flow Statement'!E8+'Cash Flow Statement'!E18+'Cash Flow Statement'!E19</f>
        <v>414110.69791381748</v>
      </c>
      <c r="F25" s="9">
        <f>E25+'Income Statement'!F30+'Cash Flow Statement'!F8+'Cash Flow Statement'!F18+'Cash Flow Statement'!F19</f>
        <v>501466.18494704756</v>
      </c>
      <c r="G25" s="9">
        <f>F25+'Income Statement'!G30+'Cash Flow Statement'!G8+'Cash Flow Statement'!G18+'Cash Flow Statement'!G19</f>
        <v>598815.87046019942</v>
      </c>
      <c r="H25" s="9">
        <f>G25+'Income Statement'!H30+'Cash Flow Statement'!H8+'Cash Flow Statement'!H18+'Cash Flow Statement'!H19</f>
        <v>705929.02860855462</v>
      </c>
    </row>
    <row r="26" spans="1:8" x14ac:dyDescent="0.25">
      <c r="A26" s="1" t="s">
        <v>107</v>
      </c>
      <c r="B26" s="1" t="s">
        <v>13</v>
      </c>
      <c r="C26" s="16">
        <f>C20+C23+C24+C25</f>
        <v>512163</v>
      </c>
      <c r="D26" s="9">
        <f>D20+D23+D24+D25</f>
        <v>611784.63924865203</v>
      </c>
      <c r="E26" s="9">
        <f>E20+E23+E24+E25</f>
        <v>720246.0320349792</v>
      </c>
      <c r="F26" s="9">
        <f>F20+F23+F24+F25</f>
        <v>838249.73307979922</v>
      </c>
      <c r="G26" s="9">
        <f>G20+G23+G24+G25</f>
        <v>964866.8414984023</v>
      </c>
      <c r="H26" s="9">
        <f>H20+H23+H24+H25</f>
        <v>1098771.8786871042</v>
      </c>
    </row>
    <row r="27" spans="1:8" x14ac:dyDescent="0.25">
      <c r="A27" s="2" t="s">
        <v>108</v>
      </c>
      <c r="B27" s="2" t="s">
        <v>13</v>
      </c>
      <c r="C27" s="15">
        <f>C17-C26</f>
        <v>0</v>
      </c>
      <c r="D27" s="8">
        <f>D17-D26</f>
        <v>0</v>
      </c>
      <c r="E27" s="8">
        <f>E17-E26</f>
        <v>0</v>
      </c>
      <c r="F27" s="8">
        <f>F17-F26</f>
        <v>0</v>
      </c>
      <c r="G27" s="8">
        <f>G17-G26</f>
        <v>0</v>
      </c>
      <c r="H27" s="8">
        <f>H17-H26</f>
        <v>0</v>
      </c>
    </row>
    <row r="28" spans="1:8" x14ac:dyDescent="0.25">
      <c r="A28" s="1"/>
      <c r="B28" s="1"/>
      <c r="C28" s="1"/>
      <c r="D28" s="1"/>
      <c r="E28" s="1"/>
      <c r="F28" s="1"/>
      <c r="G28" s="1"/>
      <c r="H28" s="1"/>
    </row>
    <row r="29" spans="1:8" x14ac:dyDescent="0.25">
      <c r="A29" s="1"/>
      <c r="B29" s="1"/>
      <c r="C29" s="1"/>
      <c r="D29" s="1"/>
      <c r="E29" s="1"/>
      <c r="F29" s="1"/>
      <c r="G29" s="1"/>
      <c r="H29" s="1"/>
    </row>
    <row r="30" spans="1:8" ht="15.75" thickBot="1" x14ac:dyDescent="0.3">
      <c r="A30" s="1"/>
      <c r="B30" s="1"/>
      <c r="C30" s="1"/>
      <c r="D30" s="1"/>
      <c r="E30" s="1"/>
      <c r="F30" s="1"/>
      <c r="G30" s="1"/>
      <c r="H30" s="1"/>
    </row>
    <row r="31" spans="1:8" ht="16.5" thickTop="1" thickBot="1" x14ac:dyDescent="0.3">
      <c r="A31" s="7"/>
      <c r="B31" s="7"/>
      <c r="C31" s="7"/>
      <c r="D31" s="7"/>
      <c r="E31" s="7"/>
      <c r="F31" s="7"/>
      <c r="G31" s="7"/>
      <c r="H31" s="7"/>
    </row>
    <row r="32" spans="1:8" ht="15.75" thickTop="1" x14ac:dyDescent="0.25">
      <c r="A32" s="7"/>
      <c r="B32" s="7"/>
      <c r="C32" s="7"/>
      <c r="D32" s="7"/>
      <c r="E32" s="7"/>
      <c r="F32" s="7"/>
      <c r="G32" s="7"/>
      <c r="H32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4A4BF-02AF-466A-8AB6-FABEC46703C6}">
  <dimension ref="A1:H32"/>
  <sheetViews>
    <sheetView showGridLines="0" workbookViewId="0"/>
  </sheetViews>
  <sheetFormatPr defaultRowHeight="15" x14ac:dyDescent="0.25"/>
  <cols>
    <col min="1" max="1" width="39" customWidth="1"/>
    <col min="2" max="2" width="13.7109375" customWidth="1"/>
    <col min="3" max="8" width="15.5703125" customWidth="1"/>
  </cols>
  <sheetData>
    <row r="1" spans="1:8" x14ac:dyDescent="0.25">
      <c r="A1" s="2" t="s">
        <v>109</v>
      </c>
      <c r="B1" s="2"/>
      <c r="C1" s="2"/>
      <c r="D1" s="2"/>
      <c r="E1" s="2"/>
      <c r="F1" s="2"/>
      <c r="G1" s="2"/>
      <c r="H1" s="2"/>
    </row>
    <row r="2" spans="1:8" x14ac:dyDescent="0.25">
      <c r="A2" s="4" t="s">
        <v>110</v>
      </c>
      <c r="B2" s="4"/>
      <c r="C2" s="4"/>
      <c r="D2" s="4"/>
      <c r="E2" s="4"/>
      <c r="F2" s="4"/>
      <c r="G2" s="4"/>
      <c r="H2" s="4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5" t="s">
        <v>68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</row>
    <row r="5" spans="1:8" x14ac:dyDescent="0.25">
      <c r="A5" s="2" t="s">
        <v>111</v>
      </c>
      <c r="B5" s="2"/>
      <c r="C5" s="15"/>
      <c r="D5" s="8"/>
      <c r="E5" s="8"/>
      <c r="F5" s="8"/>
      <c r="G5" s="8"/>
      <c r="H5" s="8"/>
    </row>
    <row r="6" spans="1:8" x14ac:dyDescent="0.25">
      <c r="A6" s="1" t="s">
        <v>86</v>
      </c>
      <c r="B6" s="1" t="s">
        <v>13</v>
      </c>
      <c r="C6" s="16">
        <v>88136</v>
      </c>
      <c r="D6" s="9">
        <f>'Income Statement'!D30</f>
        <v>98407.984225599968</v>
      </c>
      <c r="E6" s="9">
        <f>'Income Statement'!E30</f>
        <v>112121.33323175681</v>
      </c>
      <c r="F6" s="9">
        <f>'Income Statement'!F30</f>
        <v>126855.72247673341</v>
      </c>
      <c r="G6" s="9">
        <f>'Income Statement'!G30</f>
        <v>141781.07601875599</v>
      </c>
      <c r="H6" s="9">
        <f>'Income Statement'!H30</f>
        <v>156448.62655940899</v>
      </c>
    </row>
    <row r="7" spans="1:8" x14ac:dyDescent="0.25">
      <c r="A7" s="1" t="s">
        <v>112</v>
      </c>
      <c r="B7" s="1" t="s">
        <v>13</v>
      </c>
      <c r="C7" s="16">
        <v>22287</v>
      </c>
      <c r="D7" s="9">
        <f>'Income Statement'!D9*Assumptions!D28</f>
        <v>25243.588800000001</v>
      </c>
      <c r="E7" s="9">
        <f>'Income Statement'!E9*Assumptions!E28</f>
        <v>27881.768217600002</v>
      </c>
      <c r="F7" s="9">
        <f>'Income Statement'!F9*Assumptions!F28</f>
        <v>30437.373404159993</v>
      </c>
      <c r="G7" s="9">
        <f>'Income Statement'!G9*Assumptions!G28</f>
        <v>32818.878525081607</v>
      </c>
      <c r="H7" s="9">
        <f>'Income Statement'!H9*Assumptions!H28</f>
        <v>34929.648551605256</v>
      </c>
    </row>
    <row r="8" spans="1:8" x14ac:dyDescent="0.25">
      <c r="A8" s="1" t="s">
        <v>113</v>
      </c>
      <c r="B8" s="1" t="s">
        <v>13</v>
      </c>
      <c r="C8" s="16">
        <v>10734</v>
      </c>
      <c r="D8" s="9">
        <f>'Income Statement'!D9*Assumptions!D34</f>
        <v>11219.372800000001</v>
      </c>
      <c r="E8" s="9">
        <f>'Income Statement'!E9*Assumptions!E34</f>
        <v>12356.692732800002</v>
      </c>
      <c r="F8" s="9">
        <f>'Income Statement'!F9*Assumptions!F34</f>
        <v>13449.071969279998</v>
      </c>
      <c r="G8" s="9">
        <f>'Income Statement'!G9*Assumptions!G34</f>
        <v>14455.934588428801</v>
      </c>
      <c r="H8" s="9">
        <f>'Income Statement'!H9*Assumptions!H34</f>
        <v>15334.967656802306</v>
      </c>
    </row>
    <row r="9" spans="1:8" ht="15.75" thickBot="1" x14ac:dyDescent="0.3">
      <c r="A9" s="1" t="s">
        <v>114</v>
      </c>
      <c r="B9" s="1" t="s">
        <v>13</v>
      </c>
      <c r="C9" s="16">
        <v>-2609</v>
      </c>
      <c r="D9" s="9">
        <f>-('Balance Sheet'!D7-'Balance Sheet'!C7)-('Balance Sheet'!D8-'Balance Sheet'!C8)+('Balance Sheet'!D20-'Balance Sheet'!C20)</f>
        <v>9068.1520131506859</v>
      </c>
      <c r="E9" s="9">
        <f>-('Balance Sheet'!E7-'Balance Sheet'!D7)-('Balance Sheet'!E8-'Balance Sheet'!D8)+('Balance Sheet'!E20-'Balance Sheet'!D20)</f>
        <v>9863.9152307550958</v>
      </c>
      <c r="F9" s="9">
        <f>-('Balance Sheet'!F7-'Balance Sheet'!E7)-('Balance Sheet'!F8-'Balance Sheet'!E8)+('Balance Sheet'!F20-'Balance Sheet'!E20)</f>
        <v>10071.587130339918</v>
      </c>
      <c r="G9" s="9">
        <f>-('Balance Sheet'!G7-'Balance Sheet'!F7)-('Balance Sheet'!G8-'Balance Sheet'!F8)+('Balance Sheet'!G20-'Balance Sheet'!F20)</f>
        <v>8930.7284845771301</v>
      </c>
      <c r="H9" s="9">
        <f>-('Balance Sheet'!H7-'Balance Sheet'!G7)-('Balance Sheet'!H8-'Balance Sheet'!G8)+('Balance Sheet'!H20-'Balance Sheet'!G20)</f>
        <v>9497.3907675440096</v>
      </c>
    </row>
    <row r="10" spans="1:8" ht="15.75" thickTop="1" x14ac:dyDescent="0.25">
      <c r="A10" s="7" t="s">
        <v>115</v>
      </c>
      <c r="B10" s="7" t="s">
        <v>13</v>
      </c>
      <c r="C10" s="17">
        <f>SUM(C6:C9)</f>
        <v>118548</v>
      </c>
      <c r="D10" s="10">
        <f>SUM(D6:D9)</f>
        <v>143939.09783875066</v>
      </c>
      <c r="E10" s="10">
        <f>SUM(E6:E9)</f>
        <v>162223.70941291191</v>
      </c>
      <c r="F10" s="10">
        <f>SUM(F6:F9)</f>
        <v>180813.7549805133</v>
      </c>
      <c r="G10" s="10">
        <f>SUM(G6:G9)</f>
        <v>197986.61761684352</v>
      </c>
      <c r="H10" s="10">
        <f>SUM(H6:H9)</f>
        <v>216210.63353536057</v>
      </c>
    </row>
    <row r="11" spans="1:8" x14ac:dyDescent="0.25">
      <c r="A11" s="1"/>
      <c r="B11" s="1"/>
      <c r="C11" s="16"/>
      <c r="D11" s="9"/>
      <c r="E11" s="9"/>
      <c r="F11" s="9"/>
      <c r="G11" s="9"/>
      <c r="H11" s="9"/>
    </row>
    <row r="12" spans="1:8" x14ac:dyDescent="0.25">
      <c r="A12" s="1" t="s">
        <v>116</v>
      </c>
      <c r="B12" s="1"/>
      <c r="C12" s="16"/>
      <c r="D12" s="9"/>
      <c r="E12" s="9"/>
      <c r="F12" s="9"/>
      <c r="G12" s="9"/>
      <c r="H12" s="9"/>
    </row>
    <row r="13" spans="1:8" x14ac:dyDescent="0.25">
      <c r="A13" s="1" t="s">
        <v>117</v>
      </c>
      <c r="B13" s="1" t="s">
        <v>13</v>
      </c>
      <c r="C13" s="16">
        <v>-44477</v>
      </c>
      <c r="D13" s="9">
        <f>-'Income Statement'!D9*Assumptions!D29</f>
        <v>-50487.177600000003</v>
      </c>
      <c r="E13" s="9">
        <f>-'Income Statement'!E9*Assumptions!E29</f>
        <v>-53862.506784000012</v>
      </c>
      <c r="F13" s="9">
        <f>-'Income Statement'!F9*Assumptions!F29</f>
        <v>-56627.671449599991</v>
      </c>
      <c r="G13" s="9">
        <f>-'Income Statement'!G9*Assumptions!G29</f>
        <v>-58605.140223360002</v>
      </c>
      <c r="H13" s="9">
        <f>-'Income Statement'!H9*Assumptions!H29</f>
        <v>-59635.985332008982</v>
      </c>
    </row>
    <row r="14" spans="1:8" x14ac:dyDescent="0.25">
      <c r="A14" s="1" t="s">
        <v>118</v>
      </c>
      <c r="B14" s="1" t="s">
        <v>13</v>
      </c>
      <c r="C14" s="16">
        <v>-69132</v>
      </c>
      <c r="D14" s="9">
        <f>-'Income Statement'!D9*Assumptions!D30</f>
        <v>-1402.4216000000001</v>
      </c>
      <c r="E14" s="9">
        <f>-'Income Statement'!E9*Assumptions!E30</f>
        <v>-1584.1913760000002</v>
      </c>
      <c r="F14" s="9">
        <f>-'Income Statement'!F9*Assumptions!F30</f>
        <v>-1769.6147327999997</v>
      </c>
      <c r="G14" s="9">
        <f>-'Income Statement'!G9*Assumptions!G30</f>
        <v>-1953.5046741120002</v>
      </c>
      <c r="H14" s="9">
        <f>-'Income Statement'!H9*Assumptions!H30</f>
        <v>-2129.8566190003207</v>
      </c>
    </row>
    <row r="15" spans="1:8" x14ac:dyDescent="0.25">
      <c r="A15" s="2" t="s">
        <v>119</v>
      </c>
      <c r="B15" s="2" t="s">
        <v>13</v>
      </c>
      <c r="C15" s="15">
        <f>SUM(C13:C14)</f>
        <v>-113609</v>
      </c>
      <c r="D15" s="8">
        <f>SUM(D13:D14)</f>
        <v>-51889.599200000004</v>
      </c>
      <c r="E15" s="8">
        <f>SUM(E13:E14)</f>
        <v>-55446.698160000014</v>
      </c>
      <c r="F15" s="8">
        <f>SUM(F13:F14)</f>
        <v>-58397.286182399992</v>
      </c>
      <c r="G15" s="8">
        <f>SUM(G13:G14)</f>
        <v>-60558.644897472004</v>
      </c>
      <c r="H15" s="8">
        <f>SUM(H13:H14)</f>
        <v>-61765.841951009301</v>
      </c>
    </row>
    <row r="16" spans="1:8" x14ac:dyDescent="0.25">
      <c r="A16" s="1"/>
      <c r="B16" s="1"/>
      <c r="C16" s="16"/>
      <c r="D16" s="9"/>
      <c r="E16" s="9"/>
      <c r="F16" s="9"/>
      <c r="G16" s="9"/>
      <c r="H16" s="9"/>
    </row>
    <row r="17" spans="1:8" ht="15.75" thickBot="1" x14ac:dyDescent="0.3">
      <c r="A17" s="1" t="s">
        <v>120</v>
      </c>
      <c r="B17" s="1"/>
      <c r="C17" s="16"/>
      <c r="D17" s="9"/>
      <c r="E17" s="9"/>
      <c r="F17" s="9"/>
      <c r="G17" s="9"/>
      <c r="H17" s="9"/>
    </row>
    <row r="18" spans="1:8" ht="15.75" thickTop="1" x14ac:dyDescent="0.25">
      <c r="A18" s="7" t="s">
        <v>121</v>
      </c>
      <c r="B18" s="7" t="s">
        <v>13</v>
      </c>
      <c r="C18" s="17">
        <v>-21771</v>
      </c>
      <c r="D18" s="10">
        <f>-'Income Statement'!D30*Assumptions!D31</f>
        <v>-24601.996056399992</v>
      </c>
      <c r="E18" s="10">
        <f>-'Income Statement'!E30*Assumptions!E31</f>
        <v>-28030.333307939203</v>
      </c>
      <c r="F18" s="10">
        <f>-'Income Statement'!F30*Assumptions!F31</f>
        <v>-31713.930619183353</v>
      </c>
      <c r="G18" s="10">
        <f>-'Income Statement'!G30*Assumptions!G31</f>
        <v>-35445.269004688998</v>
      </c>
      <c r="H18" s="10">
        <f>-'Income Statement'!H30*Assumptions!H31</f>
        <v>-39112.156639852248</v>
      </c>
    </row>
    <row r="19" spans="1:8" x14ac:dyDescent="0.25">
      <c r="A19" s="1" t="s">
        <v>122</v>
      </c>
      <c r="B19" s="1" t="s">
        <v>13</v>
      </c>
      <c r="C19" s="16">
        <v>-17254</v>
      </c>
      <c r="D19" s="9">
        <f>-'Income Statement'!D9*Assumptions!D32</f>
        <v>-16829.0592</v>
      </c>
      <c r="E19" s="9">
        <f>-'Income Statement'!E9*Assumptions!E32</f>
        <v>-19010.296512000001</v>
      </c>
      <c r="F19" s="9">
        <f>-'Income Statement'!F9*Assumptions!F32</f>
        <v>-21235.376793599997</v>
      </c>
      <c r="G19" s="9">
        <f>-'Income Statement'!G9*Assumptions!G32</f>
        <v>-23442.056089344002</v>
      </c>
      <c r="H19" s="9">
        <f>-'Income Statement'!H9*Assumptions!H32</f>
        <v>-25558.279428003843</v>
      </c>
    </row>
    <row r="20" spans="1:8" x14ac:dyDescent="0.25">
      <c r="A20" s="1" t="s">
        <v>58</v>
      </c>
      <c r="B20" s="1" t="s">
        <v>13</v>
      </c>
      <c r="C20" s="16">
        <v>24395</v>
      </c>
      <c r="D20" s="9">
        <f>Assumptions!D33</f>
        <v>0</v>
      </c>
      <c r="E20" s="9">
        <f>Assumptions!E33</f>
        <v>0</v>
      </c>
      <c r="F20" s="9">
        <f>Assumptions!F33</f>
        <v>0</v>
      </c>
      <c r="G20" s="9">
        <f>Assumptions!G33</f>
        <v>0</v>
      </c>
      <c r="H20" s="9">
        <f>Assumptions!H33</f>
        <v>0</v>
      </c>
    </row>
    <row r="21" spans="1:8" x14ac:dyDescent="0.25">
      <c r="A21" s="1" t="s">
        <v>123</v>
      </c>
      <c r="B21" s="1" t="s">
        <v>13</v>
      </c>
      <c r="C21" s="16">
        <f>SUM(C18:C20)</f>
        <v>-14630</v>
      </c>
      <c r="D21" s="9">
        <f>SUM(D18:D20)</f>
        <v>-41431.055256399995</v>
      </c>
      <c r="E21" s="9">
        <f>SUM(E18:E20)</f>
        <v>-47040.629819939204</v>
      </c>
      <c r="F21" s="9">
        <f>SUM(F18:F20)</f>
        <v>-52949.307412783353</v>
      </c>
      <c r="G21" s="9">
        <f>SUM(G18:G20)</f>
        <v>-58887.325094033004</v>
      </c>
      <c r="H21" s="9">
        <f>SUM(H18:H20)</f>
        <v>-64670.436067856092</v>
      </c>
    </row>
    <row r="22" spans="1:8" x14ac:dyDescent="0.25">
      <c r="A22" s="1"/>
      <c r="B22" s="1"/>
      <c r="C22" s="16"/>
      <c r="D22" s="9"/>
      <c r="E22" s="9"/>
      <c r="F22" s="9"/>
      <c r="G22" s="9"/>
      <c r="H22" s="9"/>
    </row>
    <row r="23" spans="1:8" x14ac:dyDescent="0.25">
      <c r="A23" s="2" t="s">
        <v>124</v>
      </c>
      <c r="B23" s="2" t="s">
        <v>13</v>
      </c>
      <c r="C23" s="15">
        <f>C10+C15+C21</f>
        <v>-9691</v>
      </c>
      <c r="D23" s="8">
        <f>D10+D15+D21</f>
        <v>50618.44338235067</v>
      </c>
      <c r="E23" s="8">
        <f>E10+E15+E21</f>
        <v>59736.381432972688</v>
      </c>
      <c r="F23" s="8">
        <f>F10+F15+F21</f>
        <v>69467.161385329964</v>
      </c>
      <c r="G23" s="8">
        <f>G10+G15+G21</f>
        <v>78540.647625338519</v>
      </c>
      <c r="H23" s="8">
        <f>H10+H15+H21</f>
        <v>89774.355516495183</v>
      </c>
    </row>
    <row r="24" spans="1:8" x14ac:dyDescent="0.25">
      <c r="A24" s="1" t="s">
        <v>125</v>
      </c>
      <c r="B24" s="1" t="s">
        <v>13</v>
      </c>
      <c r="C24" s="16">
        <v>111262</v>
      </c>
      <c r="D24" s="9">
        <f>'Balance Sheet'!C6</f>
        <v>80500</v>
      </c>
      <c r="E24" s="9">
        <f>'Balance Sheet'!D6</f>
        <v>131118.44338235067</v>
      </c>
      <c r="F24" s="9">
        <f>'Balance Sheet'!E6</f>
        <v>190854.82481532334</v>
      </c>
      <c r="G24" s="9">
        <f>'Balance Sheet'!F6</f>
        <v>260321.98620065331</v>
      </c>
      <c r="H24" s="9">
        <f>'Balance Sheet'!G6</f>
        <v>338862.63382599183</v>
      </c>
    </row>
    <row r="25" spans="1:8" x14ac:dyDescent="0.25">
      <c r="A25" s="1" t="s">
        <v>126</v>
      </c>
      <c r="B25" s="1" t="s">
        <v>13</v>
      </c>
      <c r="C25" s="16">
        <v>80500</v>
      </c>
      <c r="D25" s="9">
        <f>D24+D23</f>
        <v>131118.44338235067</v>
      </c>
      <c r="E25" s="9">
        <f>E24+E23</f>
        <v>190854.82481532334</v>
      </c>
      <c r="F25" s="9">
        <f>F24+F23</f>
        <v>260321.98620065331</v>
      </c>
      <c r="G25" s="9">
        <f>G24+G23</f>
        <v>338862.63382599183</v>
      </c>
      <c r="H25" s="9">
        <f>H24+H23</f>
        <v>428636.98934248701</v>
      </c>
    </row>
    <row r="26" spans="1:8" x14ac:dyDescent="0.25">
      <c r="A26" s="6" t="s">
        <v>127</v>
      </c>
      <c r="B26" s="6" t="s">
        <v>13</v>
      </c>
      <c r="C26" s="20">
        <f>C25-'Balance Sheet'!C6</f>
        <v>0</v>
      </c>
      <c r="D26" s="21">
        <f>D25-'Balance Sheet'!D6</f>
        <v>0</v>
      </c>
      <c r="E26" s="21">
        <f>E25-'Balance Sheet'!E6</f>
        <v>0</v>
      </c>
      <c r="F26" s="21">
        <f>F25-'Balance Sheet'!F6</f>
        <v>0</v>
      </c>
      <c r="G26" s="21">
        <f>G25-'Balance Sheet'!G6</f>
        <v>0</v>
      </c>
      <c r="H26" s="21">
        <f>H25-'Balance Sheet'!H6</f>
        <v>0</v>
      </c>
    </row>
    <row r="27" spans="1:8" ht="15.75" thickBot="1" x14ac:dyDescent="0.3">
      <c r="A27" s="1"/>
      <c r="B27" s="1"/>
      <c r="C27" s="1"/>
      <c r="D27" s="1"/>
      <c r="E27" s="1"/>
      <c r="F27" s="1"/>
      <c r="G27" s="1"/>
      <c r="H27" s="1"/>
    </row>
    <row r="28" spans="1:8" ht="16.5" thickTop="1" thickBot="1" x14ac:dyDescent="0.3">
      <c r="A28" s="7"/>
      <c r="B28" s="7"/>
      <c r="C28" s="7"/>
      <c r="D28" s="7"/>
      <c r="E28" s="7"/>
      <c r="F28" s="7"/>
      <c r="G28" s="7"/>
      <c r="H28" s="7"/>
    </row>
    <row r="29" spans="1:8" ht="15.75" thickTop="1" x14ac:dyDescent="0.25">
      <c r="A29" s="7"/>
      <c r="B29" s="7"/>
      <c r="C29" s="7"/>
      <c r="D29" s="7"/>
      <c r="E29" s="7"/>
      <c r="F29" s="7"/>
      <c r="G29" s="7"/>
      <c r="H29" s="7"/>
    </row>
    <row r="30" spans="1:8" ht="15.75" thickBot="1" x14ac:dyDescent="0.3">
      <c r="A30" s="1"/>
      <c r="B30" s="1"/>
      <c r="C30" s="1"/>
      <c r="D30" s="1"/>
      <c r="E30" s="1"/>
      <c r="F30" s="1"/>
      <c r="G30" s="1"/>
      <c r="H30" s="1"/>
    </row>
    <row r="31" spans="1:8" ht="16.5" thickTop="1" thickBot="1" x14ac:dyDescent="0.3">
      <c r="A31" s="7"/>
      <c r="B31" s="7"/>
      <c r="C31" s="7"/>
      <c r="D31" s="7"/>
      <c r="E31" s="7"/>
      <c r="F31" s="7"/>
      <c r="G31" s="7"/>
      <c r="H31" s="7"/>
    </row>
    <row r="32" spans="1:8" ht="15.75" thickTop="1" x14ac:dyDescent="0.25">
      <c r="A32" s="7"/>
      <c r="B32" s="7"/>
      <c r="C32" s="7"/>
      <c r="D32" s="7"/>
      <c r="E32" s="7"/>
      <c r="F32" s="7"/>
      <c r="G32" s="7"/>
      <c r="H32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Assumptions</vt:lpstr>
      <vt:lpstr>Income Statement</vt:lpstr>
      <vt:lpstr>Balance Sheet</vt:lpstr>
      <vt:lpstr>Cash Flow Statement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Suchithra S</dc:creator>
  <dcterms:created xsi:type="dcterms:W3CDTF">2026-05-23T11:57:49Z</dcterms:created>
  <dcterms:modified xsi:type="dcterms:W3CDTF">2026-05-23T12:58:06Z</dcterms:modified>
</cp:coreProperties>
</file>